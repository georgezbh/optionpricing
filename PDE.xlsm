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2EXT\Desktop\my code\"/>
    </mc:Choice>
  </mc:AlternateContent>
  <bookViews>
    <workbookView xWindow="0" yWindow="240" windowWidth="24825" windowHeight="11505" activeTab="2"/>
  </bookViews>
  <sheets>
    <sheet name="Option" sheetId="1" r:id="rId1"/>
    <sheet name="Strategy" sheetId="6" r:id="rId2"/>
    <sheet name="Diagram" sheetId="3" r:id="rId3"/>
    <sheet name="PDE" sheetId="2" r:id="rId4"/>
    <sheet name="Test" sheetId="7" r:id="rId5"/>
  </sheets>
  <functionGroups builtInGroupCount="18"/>
  <definedNames>
    <definedName name="Barrier">Option!$B$14</definedName>
    <definedName name="BflyPrice">Strategy!$B$29</definedName>
    <definedName name="cashpayoff">Option!$B$16</definedName>
    <definedName name="CorP">Option!$B$9</definedName>
    <definedName name="Delta">OFFSET(Diagram!$C$2,0,0,COUNT(Diagram!$C:$C),1)</definedName>
    <definedName name="digitaltype">Option!$B$15</definedName>
    <definedName name="Divyield">Option!$B$5</definedName>
    <definedName name="EorA">Option!$B$8</definedName>
    <definedName name="Exotic">Option!$B$10</definedName>
    <definedName name="Gamma">OFFSET(Diagram!$D$2,0,0,COUNT(Diagram!$D:$D),1)</definedName>
    <definedName name="ICPrice">Strategy!$B$30</definedName>
    <definedName name="Maturity">Option!$B$7</definedName>
    <definedName name="OptionPrice">Option!$E$5</definedName>
    <definedName name="OptionPrice2">Option!$E$7</definedName>
    <definedName name="OptionPrice3">Option!$E$13</definedName>
    <definedName name="OV">OFFSET(Diagram!$B$2,0,0,COUNT(Diagram!$B:$B),1)</definedName>
    <definedName name="PDEPrice">Option!$E$11</definedName>
    <definedName name="Rate">Option!$B$4</definedName>
    <definedName name="S_CP1">Strategy!$G$3</definedName>
    <definedName name="S_CP2">Strategy!$G$4</definedName>
    <definedName name="S_CP3">Strategy!$G$5</definedName>
    <definedName name="S_CP4">Strategy!$G$6</definedName>
    <definedName name="S_CspreadPrice">Strategy!$B$27</definedName>
    <definedName name="S_Divy">Strategy!$B$4</definedName>
    <definedName name="S_Flex_CP">Strategy!$G$3:$G$6</definedName>
    <definedName name="S_Flex_IV">Strategy!$H$3:$H$6</definedName>
    <definedName name="S_Flex_IV1">Strategy!$H$3</definedName>
    <definedName name="S_Flex_IV2">Strategy!$H$4</definedName>
    <definedName name="S_Flex_IV3">Strategy!$H$5</definedName>
    <definedName name="S_Flex_IV4">Strategy!$H$6</definedName>
    <definedName name="S_Flex_Price">Strategy!$B$31</definedName>
    <definedName name="S_Flex_Strike">Strategy!$E$3:$E$6</definedName>
    <definedName name="S_FlexPrice">Strategy!$B$31</definedName>
    <definedName name="S_Maturity">Strategy!$B$5</definedName>
    <definedName name="S_PspreadPrice">Strategy!$B$28</definedName>
    <definedName name="S_Q">Strategy!$F$3:$F$6</definedName>
    <definedName name="S_Q1">Strategy!$F$3</definedName>
    <definedName name="S_Q2">Strategy!$F$4</definedName>
    <definedName name="S_Q3">Strategy!$F$5</definedName>
    <definedName name="S_Q4">Strategy!$F$6</definedName>
    <definedName name="S_Rate">Strategy!$B$3</definedName>
    <definedName name="S_Spot">Strategy!$B$2</definedName>
    <definedName name="S_Spotmulti">Strategy!$B$14</definedName>
    <definedName name="S_Spotsteps">Strategy!$B$13</definedName>
    <definedName name="S_Spread_IV1">Strategy!$F$15</definedName>
    <definedName name="S_Spread_IV2">Strategy!$F$16</definedName>
    <definedName name="S_Spread_Strike1">Strategy!$E$15</definedName>
    <definedName name="S_Spread_Strike2">Strategy!$E$16</definedName>
    <definedName name="s_steps">Option!$B$21</definedName>
    <definedName name="s_steps_multi">Option!$B$22</definedName>
    <definedName name="S_Straddle_IV">Strategy!$F$20</definedName>
    <definedName name="S_Straddle_Strike">Strategy!$E$20</definedName>
    <definedName name="S_StraddlePrice">Strategy!$B$26</definedName>
    <definedName name="S_Strangle_IV_c">Strategy!$F$10</definedName>
    <definedName name="S_Strangle_IV_p">Strategy!$F$11</definedName>
    <definedName name="S_StranglePrice">Strategy!$B$25</definedName>
    <definedName name="S_Strategy">Strategy!$B$7</definedName>
    <definedName name="S_Strike_c">Strategy!$E$10</definedName>
    <definedName name="S_Strike_p">Strategy!$E$11</definedName>
    <definedName name="S_Strike1">Strategy!$E$3</definedName>
    <definedName name="S_Strike2">Strategy!$E$4</definedName>
    <definedName name="S_Strike3">Strategy!$E$5</definedName>
    <definedName name="S_Strike4">Strategy!$E$6</definedName>
    <definedName name="S_Style">Strategy!$B$6</definedName>
    <definedName name="S_Timesteps">Strategy!$B$12</definedName>
    <definedName name="Spot">Option!$B$2</definedName>
    <definedName name="Strike">Option!$B$6</definedName>
    <definedName name="t_steps">Option!$B$20</definedName>
    <definedName name="Volatility">Option!$B$3</definedName>
    <definedName name="X">OFFSET(Diagram!$A$2,0,0,COUNTA(Diagram!$A:$A),1)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6" l="1"/>
  <c r="D30" i="6"/>
  <c r="C27" i="6"/>
  <c r="C25" i="6"/>
  <c r="C28" i="6"/>
  <c r="D25" i="6" l="1"/>
  <c r="D27" i="6"/>
  <c r="D28" i="6"/>
  <c r="B19" i="6"/>
  <c r="B16" i="6"/>
  <c r="J6" i="6"/>
  <c r="J5" i="6"/>
  <c r="J4" i="6"/>
  <c r="C26" i="6"/>
  <c r="J3" i="6"/>
  <c r="D26" i="6" l="1"/>
  <c r="I6" i="6"/>
  <c r="G10" i="6"/>
  <c r="G11" i="6"/>
  <c r="G20" i="6"/>
  <c r="G16" i="6"/>
  <c r="G15" i="6"/>
  <c r="C31" i="6"/>
  <c r="D31" i="6" s="1"/>
  <c r="I3" i="6"/>
  <c r="I4" i="6"/>
  <c r="I5" i="6"/>
  <c r="B20" i="6"/>
  <c r="B17" i="6" l="1"/>
  <c r="B12" i="6" s="1"/>
  <c r="B26" i="1"/>
  <c r="B27" i="1" s="1"/>
  <c r="B29" i="1"/>
  <c r="E5" i="1"/>
  <c r="E7" i="1"/>
  <c r="E6" i="1"/>
  <c r="E4" i="1"/>
  <c r="E2" i="1"/>
  <c r="E3" i="1"/>
  <c r="B18" i="6" l="1"/>
  <c r="B30" i="1"/>
  <c r="B28" i="1" l="1"/>
</calcChain>
</file>

<file path=xl/sharedStrings.xml><?xml version="1.0" encoding="utf-8"?>
<sst xmlns="http://schemas.openxmlformats.org/spreadsheetml/2006/main" count="98" uniqueCount="67">
  <si>
    <t>Spot</t>
  </si>
  <si>
    <t>Vol</t>
  </si>
  <si>
    <t>Rate</t>
  </si>
  <si>
    <t>Strike</t>
  </si>
  <si>
    <t>Time Steps</t>
  </si>
  <si>
    <t>dt</t>
  </si>
  <si>
    <t>ds</t>
  </si>
  <si>
    <t>Multiplier</t>
  </si>
  <si>
    <t>Total Spot Steps</t>
  </si>
  <si>
    <t>S_max</t>
  </si>
  <si>
    <t>Call or Put</t>
  </si>
  <si>
    <t>Div yield</t>
  </si>
  <si>
    <t>BSM call</t>
  </si>
  <si>
    <t>BSM put</t>
  </si>
  <si>
    <t>Barrier</t>
  </si>
  <si>
    <t>Style</t>
  </si>
  <si>
    <t>Exotic type</t>
  </si>
  <si>
    <t>Time to Maturity(in years)</t>
  </si>
  <si>
    <t>Call</t>
  </si>
  <si>
    <t>Computation parameter</t>
  </si>
  <si>
    <t>Option detail</t>
  </si>
  <si>
    <t>Output</t>
  </si>
  <si>
    <t>Digital cash payoff</t>
  </si>
  <si>
    <t>Steps from 0 to Spot</t>
  </si>
  <si>
    <t>Digital payoff type</t>
  </si>
  <si>
    <t>BSM digital call (cash)</t>
  </si>
  <si>
    <t>BSM digital put (cash)</t>
  </si>
  <si>
    <t>BSM digital call (asset)</t>
  </si>
  <si>
    <t>BSM digital put (asset)</t>
  </si>
  <si>
    <t>Time steps (minimum)</t>
  </si>
  <si>
    <t xml:space="preserve">My light PDE model </t>
  </si>
  <si>
    <t>Cash</t>
  </si>
  <si>
    <t>Strategy detail</t>
  </si>
  <si>
    <t>Strategy</t>
  </si>
  <si>
    <t>Leg 1</t>
  </si>
  <si>
    <t xml:space="preserve">Leg 2 </t>
  </si>
  <si>
    <t xml:space="preserve">Leg 3 </t>
  </si>
  <si>
    <t>Leg 4</t>
  </si>
  <si>
    <t>IV</t>
  </si>
  <si>
    <t>Quantity</t>
  </si>
  <si>
    <t>Type</t>
  </si>
  <si>
    <t>Time steps (required)</t>
  </si>
  <si>
    <t>Time steps required</t>
  </si>
  <si>
    <t>Black-Schole Price</t>
  </si>
  <si>
    <t>Put</t>
  </si>
  <si>
    <t>Flex</t>
  </si>
  <si>
    <t>Strangle Price</t>
  </si>
  <si>
    <t>Straddle Price</t>
  </si>
  <si>
    <t>Call Spread price</t>
  </si>
  <si>
    <t>Put Spread price</t>
  </si>
  <si>
    <t>Butterfly price</t>
  </si>
  <si>
    <t>Iron Condor Price</t>
  </si>
  <si>
    <t>Call leg</t>
  </si>
  <si>
    <t>Put leg</t>
  </si>
  <si>
    <t>My full PDE model</t>
  </si>
  <si>
    <t>Butterfly/Iron Condor/Flex Leg detail</t>
  </si>
  <si>
    <t>Strangle leg detail</t>
  </si>
  <si>
    <t>Speard leg detail</t>
  </si>
  <si>
    <t>Straddle leg detail</t>
  </si>
  <si>
    <t>Long leg</t>
  </si>
  <si>
    <t>Short leg</t>
  </si>
  <si>
    <t>PDE</t>
  </si>
  <si>
    <t>Black-Scholes</t>
  </si>
  <si>
    <t>%Difference</t>
  </si>
  <si>
    <t>E</t>
  </si>
  <si>
    <t>Up &amp; Out</t>
  </si>
  <si>
    <t>European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</si>
</sst>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0000"/>
    <numFmt numFmtId="165" formatCode="0.000000000"/>
    <numFmt numFmtId="166" formatCode="0.000000"/>
    <numFmt numFmtId="167" formatCode="0.00000000"/>
    <numFmt numFmtId="168" formatCode="0.000%"/>
  </numFmts>
  <fonts count="3">
    <font>
      <sz val="11"/>
      <color theme="1"/>
      <name val="Calibri"/>
      <family val="2"/>
      <charset val="134"/>
      <scheme val="minor"/>
    </font>
    <font>
      <sz val="11"/>
      <color rgb="FF000000"/>
      <name val="等线"/>
    </font>
    <font>
      <sz val="11"/>
      <color theme="1"/>
      <name val="Calibri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6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2" xfId="0" applyFill="1" applyBorder="1"/>
    <xf numFmtId="0" fontId="0" fillId="2" borderId="1" xfId="0" applyFill="1" applyBorder="1"/>
    <xf numFmtId="9" fontId="0" fillId="2" borderId="1" xfId="0" applyNumberFormat="1" applyFill="1" applyBorder="1"/>
    <xf numFmtId="10" fontId="0" fillId="2" borderId="1" xfId="0" applyNumberFormat="1" applyFill="1" applyBorder="1"/>
    <xf numFmtId="0" fontId="0" fillId="2" borderId="1" xfId="0" applyFill="1" applyBorder="1" applyAlignment="1">
      <alignment horizontal="right"/>
    </xf>
    <xf numFmtId="0" fontId="0" fillId="2" borderId="0" xfId="0" applyFill="1" applyAlignment="1">
      <alignment horizontal="right"/>
    </xf>
    <xf numFmtId="164" fontId="0" fillId="4" borderId="1" xfId="0" applyNumberFormat="1" applyFill="1" applyBorder="1"/>
    <xf numFmtId="164" fontId="0" fillId="3" borderId="1" xfId="0" applyNumberFormat="1" applyFill="1" applyBorder="1" applyAlignment="1"/>
    <xf numFmtId="1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/>
    <xf numFmtId="0" fontId="0" fillId="0" borderId="0" xfId="0" applyFill="1" applyBorder="1" applyAlignment="1">
      <alignment horizontal="right"/>
    </xf>
    <xf numFmtId="0" fontId="0" fillId="0" borderId="1" xfId="0" applyFill="1" applyBorder="1" applyAlignment="1">
      <alignment horizontal="right"/>
    </xf>
    <xf numFmtId="165" fontId="0" fillId="0" borderId="1" xfId="0" applyNumberFormat="1" applyBorder="1"/>
    <xf numFmtId="0" fontId="0" fillId="0" borderId="5" xfId="0" applyBorder="1"/>
    <xf numFmtId="9" fontId="0" fillId="0" borderId="0" xfId="0" applyNumberFormat="1" applyFill="1" applyBorder="1"/>
    <xf numFmtId="0" fontId="0" fillId="0" borderId="5" xfId="0" applyBorder="1" applyAlignment="1">
      <alignment horizontal="right"/>
    </xf>
    <xf numFmtId="168" fontId="0" fillId="0" borderId="1" xfId="1" applyNumberFormat="1" applyFont="1" applyBorder="1"/>
    <xf numFmtId="166" fontId="0" fillId="5" borderId="1" xfId="0" applyNumberFormat="1" applyFill="1" applyBorder="1"/>
    <xf numFmtId="167" fontId="0" fillId="6" borderId="1" xfId="0" applyNumberFormat="1" applyFill="1" applyBorder="1"/>
    <xf numFmtId="167" fontId="0" fillId="6" borderId="1" xfId="0" applyNumberFormat="1" applyFill="1" applyBorder="1" applyAlignment="1"/>
    <xf numFmtId="9" fontId="0" fillId="0" borderId="1" xfId="0" applyNumberFormat="1" applyFill="1" applyBorder="1"/>
    <xf numFmtId="10" fontId="0" fillId="0" borderId="1" xfId="0" applyNumberFormat="1" applyFill="1" applyBorder="1"/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3" xfId="0" applyFill="1" applyBorder="1" applyAlignment="1">
      <alignment horizontal="center" wrapText="1"/>
    </xf>
    <xf numFmtId="0" fontId="0" fillId="7" borderId="4" xfId="0" applyFill="1" applyBorder="1" applyAlignment="1">
      <alignment horizontal="center" wrapText="1"/>
    </xf>
    <xf numFmtId="0" fontId="0" fillId="7" borderId="1" xfId="0" applyFill="1" applyBorder="1" applyAlignment="1">
      <alignment horizontal="center" wrapText="1"/>
    </xf>
    <xf numFmtId="0" fontId="0" fillId="7" borderId="7" xfId="0" applyFill="1" applyBorder="1" applyAlignment="1">
      <alignment horizontal="center"/>
    </xf>
    <xf numFmtId="0" fontId="0" fillId="7" borderId="6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Option value</c:v>
          </c:tx>
          <c:marker>
            <c:symbol val="none"/>
          </c:marker>
          <c:cat>
            <c:numRef>
              <c:f>[0]!X</c:f>
              <c:numCache>
                <c:formatCode>General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cat>
          <c:val>
            <c:numRef>
              <c:f>[0]!OV</c:f>
              <c:numCache>
                <c:formatCode>General</c:formatCode>
                <c:ptCount val="151"/>
                <c:pt idx="0">
                  <c:v>1.6153758109162529E-26</c:v>
                </c:pt>
                <c:pt idx="1">
                  <c:v>1.3790196738398493E-23</c:v>
                </c:pt>
                <c:pt idx="2">
                  <c:v>3.2348364015327254E-21</c:v>
                </c:pt>
                <c:pt idx="3">
                  <c:v>3.4118437264605614E-19</c:v>
                </c:pt>
                <c:pt idx="4">
                  <c:v>2.0046874861158693E-17</c:v>
                </c:pt>
                <c:pt idx="5">
                  <c:v>7.4121117896893439E-16</c:v>
                </c:pt>
                <c:pt idx="6">
                  <c:v>1.8674009053833397E-14</c:v>
                </c:pt>
                <c:pt idx="7">
                  <c:v>3.3930362776406037E-13</c:v>
                </c:pt>
                <c:pt idx="8">
                  <c:v>4.6420623467384796E-12</c:v>
                </c:pt>
                <c:pt idx="9">
                  <c:v>4.9486545569981717E-11</c:v>
                </c:pt>
                <c:pt idx="10">
                  <c:v>4.2284005362784529E-10</c:v>
                </c:pt>
                <c:pt idx="11">
                  <c:v>2.9658621927189426E-9</c:v>
                </c:pt>
                <c:pt idx="12">
                  <c:v>1.7432735138735863E-8</c:v>
                </c:pt>
                <c:pt idx="13">
                  <c:v>8.7429779732334285E-8</c:v>
                </c:pt>
                <c:pt idx="14">
                  <c:v>3.801568222218348E-7</c:v>
                </c:pt>
                <c:pt idx="15">
                  <c:v>1.4535806481301513E-6</c:v>
                </c:pt>
                <c:pt idx="16">
                  <c:v>4.9498067017793526E-6</c:v>
                </c:pt>
                <c:pt idx="17">
                  <c:v>1.5181872474781579E-5</c:v>
                </c:pt>
                <c:pt idx="18">
                  <c:v>4.2368676828851962E-5</c:v>
                </c:pt>
                <c:pt idx="19">
                  <c:v>1.0856126090592401E-4</c:v>
                </c:pt>
                <c:pt idx="20">
                  <c:v>2.5746876170942991E-4</c:v>
                </c:pt>
                <c:pt idx="21">
                  <c:v>5.6928223080391835E-4</c:v>
                </c:pt>
                <c:pt idx="22">
                  <c:v>1.1810862812254165E-3</c:v>
                </c:pt>
                <c:pt idx="23">
                  <c:v>2.3125102928524834E-3</c:v>
                </c:pt>
                <c:pt idx="24">
                  <c:v>4.295000589346727E-3</c:v>
                </c:pt>
                <c:pt idx="25">
                  <c:v>7.6017159379743061E-3</c:v>
                </c:pt>
                <c:pt idx="26">
                  <c:v>1.2873860577449797E-2</c:v>
                </c:pt>
                <c:pt idx="27">
                  <c:v>2.0938570789379336E-2</c:v>
                </c:pt>
                <c:pt idx="28">
                  <c:v>3.2813482693060655E-2</c:v>
                </c:pt>
                <c:pt idx="29">
                  <c:v>4.9693915361842318E-2</c:v>
                </c:pt>
                <c:pt idx="30">
                  <c:v>7.2920135223737914E-2</c:v>
                </c:pt>
                <c:pt idx="31">
                  <c:v>0.10392421997734974</c:v>
                </c:pt>
                <c:pt idx="32">
                  <c:v>0.14415831883586194</c:v>
                </c:pt>
                <c:pt idx="33">
                  <c:v>0.1950082876486785</c:v>
                </c:pt>
                <c:pt idx="34">
                  <c:v>0.25769846830422488</c:v>
                </c:pt>
                <c:pt idx="35">
                  <c:v>0.33319456180235701</c:v>
                </c:pt>
                <c:pt idx="36">
                  <c:v>0.4221119931340449</c:v>
                </c:pt>
                <c:pt idx="37">
                  <c:v>0.52463686823732592</c:v>
                </c:pt>
                <c:pt idx="38">
                  <c:v>0.64046565674029254</c:v>
                </c:pt>
                <c:pt idx="39">
                  <c:v>0.76876824691835954</c:v>
                </c:pt>
                <c:pt idx="40">
                  <c:v>0.90817720046744588</c:v>
                </c:pt>
                <c:pt idx="41">
                  <c:v>1.0568040858062857</c:v>
                </c:pt>
                <c:pt idx="42">
                  <c:v>1.2122818784870719</c:v>
                </c:pt>
                <c:pt idx="43">
                  <c:v>1.3718307435246586</c:v>
                </c:pt>
                <c:pt idx="44">
                  <c:v>1.532343172234701</c:v>
                </c:pt>
                <c:pt idx="45">
                  <c:v>1.6904835040511033</c:v>
                </c:pt>
                <c:pt idx="46">
                  <c:v>1.8427963453565595</c:v>
                </c:pt>
                <c:pt idx="47">
                  <c:v>1.9858182871902958</c:v>
                </c:pt>
                <c:pt idx="48">
                  <c:v>2.1161875759680608</c:v>
                </c:pt>
                <c:pt idx="49">
                  <c:v>2.2307469395086783</c:v>
                </c:pt>
                <c:pt idx="50">
                  <c:v>2.326635536948793</c:v>
                </c:pt>
                <c:pt idx="51">
                  <c:v>2.4013669050327882</c:v>
                </c:pt>
                <c:pt idx="52">
                  <c:v>2.4528907383727074</c:v>
                </c:pt>
                <c:pt idx="53">
                  <c:v>2.479637300254006</c:v>
                </c:pt>
                <c:pt idx="54">
                  <c:v>2.4805441583166297</c:v>
                </c:pt>
                <c:pt idx="55">
                  <c:v>2.4550657345720892</c:v>
                </c:pt>
                <c:pt idx="56">
                  <c:v>2.4031668241307029</c:v>
                </c:pt>
                <c:pt idx="57">
                  <c:v>2.3253017569568075</c:v>
                </c:pt>
                <c:pt idx="58">
                  <c:v>2.2223812483688357</c:v>
                </c:pt>
                <c:pt idx="59">
                  <c:v>2.095729212380145</c:v>
                </c:pt>
                <c:pt idx="60">
                  <c:v>1.9470319097343602</c:v>
                </c:pt>
                <c:pt idx="61">
                  <c:v>1.7782817867242442</c:v>
                </c:pt>
                <c:pt idx="62">
                  <c:v>1.5917182514104455</c:v>
                </c:pt>
                <c:pt idx="63">
                  <c:v>1.3897674515090057</c:v>
                </c:pt>
                <c:pt idx="64">
                  <c:v>1.1749828834744085</c:v>
                </c:pt>
                <c:pt idx="65">
                  <c:v>0.94998839426107851</c:v>
                </c:pt>
                <c:pt idx="66">
                  <c:v>0.71742485289201574</c:v>
                </c:pt>
                <c:pt idx="67">
                  <c:v>0.47990148275871281</c:v>
                </c:pt>
                <c:pt idx="68">
                  <c:v>0.23995256926188349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F76-4651-B129-0724A2FA5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8418944"/>
        <c:axId val="389899392"/>
      </c:lineChart>
      <c:catAx>
        <c:axId val="388418944"/>
        <c:scaling>
          <c:orientation val="minMax"/>
        </c:scaling>
        <c:delete val="0"/>
        <c:axPos val="b"/>
        <c:numFmt formatCode="0.00" sourceLinked="0"/>
        <c:majorTickMark val="out"/>
        <c:minorTickMark val="none"/>
        <c:tickLblPos val="nextTo"/>
        <c:crossAx val="389899392"/>
        <c:crosses val="autoZero"/>
        <c:auto val="1"/>
        <c:lblAlgn val="ctr"/>
        <c:lblOffset val="100"/>
        <c:noMultiLvlLbl val="0"/>
      </c:catAx>
      <c:valAx>
        <c:axId val="38989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84189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Delta</c:v>
          </c:tx>
          <c:marker>
            <c:symbol val="none"/>
          </c:marker>
          <c:cat>
            <c:numRef>
              <c:f>[0]!X</c:f>
              <c:numCache>
                <c:formatCode>General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cat>
          <c:val>
            <c:numRef>
              <c:f>[0]!Delta</c:f>
              <c:numCache>
                <c:formatCode>General</c:formatCode>
                <c:ptCount val="151"/>
                <c:pt idx="0">
                  <c:v>6.8950983691992467E-24</c:v>
                </c:pt>
                <c:pt idx="1">
                  <c:v>1.6174101238873081E-21</c:v>
                </c:pt>
                <c:pt idx="2">
                  <c:v>1.7058529122465888E-19</c:v>
                </c:pt>
                <c:pt idx="3">
                  <c:v>1.002182001237858E-17</c:v>
                </c:pt>
                <c:pt idx="4">
                  <c:v>3.7043499729814417E-16</c:v>
                </c:pt>
                <c:pt idx="5">
                  <c:v>9.3269810894861192E-15</c:v>
                </c:pt>
                <c:pt idx="6">
                  <c:v>1.6928120829254572E-13</c:v>
                </c:pt>
                <c:pt idx="7">
                  <c:v>2.3116941688423231E-12</c:v>
                </c:pt>
                <c:pt idx="8">
                  <c:v>2.4573620971108829E-11</c:v>
                </c:pt>
                <c:pt idx="9">
                  <c:v>2.0909899564055342E-10</c:v>
                </c:pt>
                <c:pt idx="10">
                  <c:v>1.4581878235744804E-9</c:v>
                </c:pt>
                <c:pt idx="11">
                  <c:v>8.5049475425540094E-9</c:v>
                </c:pt>
                <c:pt idx="12">
                  <c:v>4.2231958769807673E-8</c:v>
                </c:pt>
                <c:pt idx="13">
                  <c:v>1.8136204354154946E-7</c:v>
                </c:pt>
                <c:pt idx="14">
                  <c:v>6.8307543419890854E-7</c:v>
                </c:pt>
                <c:pt idx="15">
                  <c:v>2.2848249397787588E-6</c:v>
                </c:pt>
                <c:pt idx="16">
                  <c:v>6.8641459133257139E-6</c:v>
                </c:pt>
                <c:pt idx="17">
                  <c:v>1.8709435063536304E-5</c:v>
                </c:pt>
                <c:pt idx="18">
                  <c:v>4.6689694215571218E-5</c:v>
                </c:pt>
                <c:pt idx="19">
                  <c:v>1.0755004244028898E-4</c:v>
                </c:pt>
                <c:pt idx="20">
                  <c:v>2.3036048494899718E-4</c:v>
                </c:pt>
                <c:pt idx="21">
                  <c:v>4.6180875975799325E-4</c:v>
                </c:pt>
                <c:pt idx="22">
                  <c:v>8.7161403102428247E-4</c:v>
                </c:pt>
                <c:pt idx="23">
                  <c:v>1.5569571540606552E-3</c:v>
                </c:pt>
                <c:pt idx="24">
                  <c:v>2.6446028225609111E-3</c:v>
                </c:pt>
                <c:pt idx="25">
                  <c:v>4.2894299940515346E-3</c:v>
                </c:pt>
                <c:pt idx="26">
                  <c:v>6.6684274257025151E-3</c:v>
                </c:pt>
                <c:pt idx="27">
                  <c:v>9.9698110578054291E-3</c:v>
                </c:pt>
                <c:pt idx="28">
                  <c:v>1.4377672286231491E-2</c:v>
                </c:pt>
                <c:pt idx="29">
                  <c:v>2.0053326265338629E-2</c:v>
                </c:pt>
                <c:pt idx="30">
                  <c:v>2.7115152307753711E-2</c:v>
                </c:pt>
                <c:pt idx="31">
                  <c:v>3.5619091806062014E-2</c:v>
                </c:pt>
                <c:pt idx="32">
                  <c:v>4.5542033835664381E-2</c:v>
                </c:pt>
                <c:pt idx="33">
                  <c:v>5.6770074734181469E-2</c:v>
                </c:pt>
                <c:pt idx="34">
                  <c:v>6.9093137076839256E-2</c:v>
                </c:pt>
                <c:pt idx="35">
                  <c:v>8.2206762414910012E-2</c:v>
                </c:pt>
                <c:pt idx="36">
                  <c:v>9.572115321748445E-2</c:v>
                </c:pt>
                <c:pt idx="37">
                  <c:v>0.10917683180312382</c:v>
                </c:pt>
                <c:pt idx="38">
                  <c:v>0.12206568934051681</c:v>
                </c:pt>
                <c:pt idx="39">
                  <c:v>0.13385577186357667</c:v>
                </c:pt>
                <c:pt idx="40">
                  <c:v>0.14401791944396308</c:v>
                </c:pt>
                <c:pt idx="41">
                  <c:v>0.15205233900981302</c:v>
                </c:pt>
                <c:pt idx="42">
                  <c:v>0.15751332885918645</c:v>
                </c:pt>
                <c:pt idx="43">
                  <c:v>0.16003064687381452</c:v>
                </c:pt>
                <c:pt idx="44">
                  <c:v>0.15932638026322232</c:v>
                </c:pt>
                <c:pt idx="45">
                  <c:v>0.15522658656092925</c:v>
                </c:pt>
                <c:pt idx="46">
                  <c:v>0.1476673915695963</c:v>
                </c:pt>
                <c:pt idx="47">
                  <c:v>0.1366956153057507</c:v>
                </c:pt>
                <c:pt idx="48">
                  <c:v>0.12246432615919123</c:v>
                </c:pt>
                <c:pt idx="49">
                  <c:v>0.10522398049036608</c:v>
                </c:pt>
                <c:pt idx="50">
                  <c:v>8.5309982762054926E-2</c:v>
                </c:pt>
                <c:pt idx="51">
                  <c:v>6.3127600711957221E-2</c:v>
                </c:pt>
                <c:pt idx="52">
                  <c:v>3.9135197610608907E-2</c:v>
                </c:pt>
                <c:pt idx="53">
                  <c:v>1.3826709971961115E-2</c:v>
                </c:pt>
                <c:pt idx="54">
                  <c:v>-1.2285782840958381E-2</c:v>
                </c:pt>
                <c:pt idx="55">
                  <c:v>-3.8688667092963369E-2</c:v>
                </c:pt>
                <c:pt idx="56">
                  <c:v>-6.4881988807640845E-2</c:v>
                </c:pt>
                <c:pt idx="57">
                  <c:v>-9.0392787880933634E-2</c:v>
                </c:pt>
                <c:pt idx="58">
                  <c:v>-0.11478627228833127</c:v>
                </c:pt>
                <c:pt idx="59">
                  <c:v>-0.13767466931723771</c:v>
                </c:pt>
                <c:pt idx="60">
                  <c:v>-0.15872371282795039</c:v>
                </c:pt>
                <c:pt idx="61">
                  <c:v>-0.17765682916195735</c:v>
                </c:pt>
                <c:pt idx="62">
                  <c:v>-0.19425716760761924</c:v>
                </c:pt>
                <c:pt idx="63">
                  <c:v>-0.20836768396801852</c:v>
                </c:pt>
                <c:pt idx="64">
                  <c:v>-0.2198895286239636</c:v>
                </c:pt>
                <c:pt idx="65">
                  <c:v>-0.22877901529119637</c:v>
                </c:pt>
                <c:pt idx="66">
                  <c:v>-0.23504345575118285</c:v>
                </c:pt>
                <c:pt idx="67">
                  <c:v>-0.23873614181506614</c:v>
                </c:pt>
                <c:pt idx="68">
                  <c:v>-0.2399507413793564</c:v>
                </c:pt>
                <c:pt idx="69">
                  <c:v>-0.11997628463094175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EC0-4CB7-A931-57435B5F7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9920256"/>
        <c:axId val="389921792"/>
      </c:lineChart>
      <c:catAx>
        <c:axId val="389920256"/>
        <c:scaling>
          <c:orientation val="minMax"/>
        </c:scaling>
        <c:delete val="0"/>
        <c:axPos val="b"/>
        <c:numFmt formatCode="0.00" sourceLinked="0"/>
        <c:majorTickMark val="out"/>
        <c:minorTickMark val="none"/>
        <c:tickLblPos val="nextTo"/>
        <c:crossAx val="389921792"/>
        <c:crosses val="autoZero"/>
        <c:auto val="1"/>
        <c:lblAlgn val="ctr"/>
        <c:lblOffset val="100"/>
        <c:noMultiLvlLbl val="0"/>
      </c:catAx>
      <c:valAx>
        <c:axId val="38992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9920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Gamma</c:v>
          </c:tx>
          <c:marker>
            <c:symbol val="none"/>
          </c:marker>
          <c:cat>
            <c:numRef>
              <c:f>[0]!X</c:f>
              <c:numCache>
                <c:formatCode>General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cat>
          <c:val>
            <c:numRef>
              <c:f>[0]!Gamma</c:f>
              <c:numCache>
                <c:formatCode>General</c:formatCode>
                <c:ptCount val="151"/>
                <c:pt idx="0">
                  <c:v>8.0869698506459949E-22</c:v>
                </c:pt>
                <c:pt idx="1">
                  <c:v>8.5289198063144846E-20</c:v>
                </c:pt>
                <c:pt idx="2">
                  <c:v>5.0101013011273462E-18</c:v>
                </c:pt>
                <c:pt idx="3">
                  <c:v>1.8513220600345975E-16</c:v>
                </c:pt>
                <c:pt idx="4">
                  <c:v>4.6584796347368707E-15</c:v>
                </c:pt>
                <c:pt idx="5">
                  <c:v>8.445538664762379E-14</c:v>
                </c:pt>
                <c:pt idx="6">
                  <c:v>1.1511835938764185E-12</c:v>
                </c:pt>
                <c:pt idx="7">
                  <c:v>1.2202169881408141E-11</c:v>
                </c:pt>
                <c:pt idx="8">
                  <c:v>1.0339365073585555E-10</c:v>
                </c:pt>
                <c:pt idx="9">
                  <c:v>7.1680710130168578E-10</c:v>
                </c:pt>
                <c:pt idx="10">
                  <c:v>4.1479242734567279E-9</c:v>
                </c:pt>
                <c:pt idx="11">
                  <c:v>2.0386885473116598E-8</c:v>
                </c:pt>
                <c:pt idx="12">
                  <c:v>8.6428547999497723E-8</c:v>
                </c:pt>
                <c:pt idx="13">
                  <c:v>3.2042173771455044E-7</c:v>
                </c:pt>
                <c:pt idx="14">
                  <c:v>1.0517314481186047E-6</c:v>
                </c:pt>
                <c:pt idx="15">
                  <c:v>3.0905352395634026E-6</c:v>
                </c:pt>
                <c:pt idx="16">
                  <c:v>8.2123050618787719E-6</c:v>
                </c:pt>
                <c:pt idx="17">
                  <c:v>1.9912774151122752E-5</c:v>
                </c:pt>
                <c:pt idx="18">
                  <c:v>4.4420303688376338E-5</c:v>
                </c:pt>
                <c:pt idx="19">
                  <c:v>9.1835395366712978E-5</c:v>
                </c:pt>
                <c:pt idx="20">
                  <c:v>1.7712935865885212E-4</c:v>
                </c:pt>
                <c:pt idx="21">
                  <c:v>3.2062677303764265E-4</c:v>
                </c:pt>
                <c:pt idx="22">
                  <c:v>5.4757419715133096E-4</c:v>
                </c:pt>
                <c:pt idx="23">
                  <c:v>8.8649439576831432E-4</c:v>
                </c:pt>
                <c:pt idx="24">
                  <c:v>1.3662364199954397E-3</c:v>
                </c:pt>
                <c:pt idx="25">
                  <c:v>2.011912301570802E-3</c:v>
                </c:pt>
                <c:pt idx="26">
                  <c:v>2.8401905318769472E-3</c:v>
                </c:pt>
                <c:pt idx="27">
                  <c:v>3.8546224302644879E-3</c:v>
                </c:pt>
                <c:pt idx="28">
                  <c:v>5.0417576037666001E-3</c:v>
                </c:pt>
                <c:pt idx="29">
                  <c:v>6.3687400107611102E-3</c:v>
                </c:pt>
                <c:pt idx="30">
                  <c:v>7.7828827703616925E-3</c:v>
                </c:pt>
                <c:pt idx="31">
                  <c:v>9.2134407639553346E-3</c:v>
                </c:pt>
                <c:pt idx="32">
                  <c:v>1.0575491464059728E-2</c:v>
                </c:pt>
                <c:pt idx="33">
                  <c:v>1.1775551620587438E-2</c:v>
                </c:pt>
                <c:pt idx="34">
                  <c:v>1.2718343840364271E-2</c:v>
                </c:pt>
                <c:pt idx="35">
                  <c:v>1.3314008070322597E-2</c:v>
                </c:pt>
                <c:pt idx="36">
                  <c:v>1.3485034694106904E-2</c:v>
                </c:pt>
                <c:pt idx="37">
                  <c:v>1.3172268061516182E-2</c:v>
                </c:pt>
                <c:pt idx="38">
                  <c:v>1.2339470030226424E-2</c:v>
                </c:pt>
                <c:pt idx="39">
                  <c:v>1.0976115051723134E-2</c:v>
                </c:pt>
                <c:pt idx="40">
                  <c:v>9.0982835731181766E-3</c:v>
                </c:pt>
                <c:pt idx="41">
                  <c:v>6.7477047076116847E-3</c:v>
                </c:pt>
                <c:pt idx="42">
                  <c:v>3.9891539320007496E-3</c:v>
                </c:pt>
                <c:pt idx="43">
                  <c:v>9.0652570201793514E-4</c:v>
                </c:pt>
                <c:pt idx="44">
                  <c:v>-2.4020301564426361E-3</c:v>
                </c:pt>
                <c:pt idx="45">
                  <c:v>-5.8294943468130134E-3</c:v>
                </c:pt>
                <c:pt idx="46">
                  <c:v>-9.2654856275892761E-3</c:v>
                </c:pt>
                <c:pt idx="47">
                  <c:v>-1.2601532705202534E-2</c:v>
                </c:pt>
                <c:pt idx="48">
                  <c:v>-1.573581740769231E-2</c:v>
                </c:pt>
                <c:pt idx="49">
                  <c:v>-1.8577171698568151E-2</c:v>
                </c:pt>
                <c:pt idx="50">
                  <c:v>-2.1048189889204427E-2</c:v>
                </c:pt>
                <c:pt idx="51">
                  <c:v>-2.3087392575723009E-2</c:v>
                </c:pt>
                <c:pt idx="52">
                  <c:v>-2.4650445369998053E-2</c:v>
                </c:pt>
                <c:pt idx="53">
                  <c:v>-2.5710490225783644E-2</c:v>
                </c:pt>
                <c:pt idx="54">
                  <c:v>-2.6257688532462242E-2</c:v>
                </c:pt>
                <c:pt idx="55">
                  <c:v>-2.6298102983341232E-2</c:v>
                </c:pt>
                <c:pt idx="56">
                  <c:v>-2.5852060393985132E-2</c:v>
                </c:pt>
                <c:pt idx="57">
                  <c:v>-2.4952141740345213E-2</c:v>
                </c:pt>
                <c:pt idx="58">
                  <c:v>-2.3640940718152037E-2</c:v>
                </c:pt>
                <c:pt idx="59">
                  <c:v>-2.1968720269809561E-2</c:v>
                </c:pt>
                <c:pt idx="60">
                  <c:v>-1.9991079922359822E-2</c:v>
                </c:pt>
                <c:pt idx="61">
                  <c:v>-1.7766727389834425E-2</c:v>
                </c:pt>
                <c:pt idx="62">
                  <c:v>-1.5355427403030586E-2</c:v>
                </c:pt>
                <c:pt idx="63">
                  <c:v>-1.2816180508172181E-2</c:v>
                </c:pt>
                <c:pt idx="64">
                  <c:v>-1.0205665661588925E-2</c:v>
                </c:pt>
                <c:pt idx="65">
                  <c:v>-7.5769635636096233E-3</c:v>
                </c:pt>
                <c:pt idx="66">
                  <c:v>-4.9785632619348819E-3</c:v>
                </c:pt>
                <c:pt idx="67">
                  <c:v>-2.4536428140867761E-3</c:v>
                </c:pt>
                <c:pt idx="68">
                  <c:v>5.9379928592062196E-2</c:v>
                </c:pt>
                <c:pt idx="69">
                  <c:v>0.1199753706896782</c:v>
                </c:pt>
                <c:pt idx="70">
                  <c:v>5.9988142315470873E-2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5A1-45EF-B083-C90A7B899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9946752"/>
        <c:axId val="389952640"/>
      </c:lineChart>
      <c:catAx>
        <c:axId val="389946752"/>
        <c:scaling>
          <c:orientation val="minMax"/>
        </c:scaling>
        <c:delete val="0"/>
        <c:axPos val="b"/>
        <c:numFmt formatCode="0.00" sourceLinked="0"/>
        <c:majorTickMark val="out"/>
        <c:minorTickMark val="none"/>
        <c:tickLblPos val="nextTo"/>
        <c:crossAx val="389952640"/>
        <c:crosses val="autoZero"/>
        <c:auto val="1"/>
        <c:lblAlgn val="ctr"/>
        <c:lblOffset val="100"/>
        <c:noMultiLvlLbl val="0"/>
      </c:catAx>
      <c:valAx>
        <c:axId val="389952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9946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9</xdr:row>
          <xdr:rowOff>76200</xdr:rowOff>
        </xdr:from>
        <xdr:to>
          <xdr:col>7</xdr:col>
          <xdr:colOff>114300</xdr:colOff>
          <xdr:row>11</xdr:row>
          <xdr:rowOff>85725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11</xdr:row>
          <xdr:rowOff>171450</xdr:rowOff>
        </xdr:from>
        <xdr:to>
          <xdr:col>7</xdr:col>
          <xdr:colOff>114300</xdr:colOff>
          <xdr:row>13</xdr:row>
          <xdr:rowOff>180975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Model light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180975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Pricing 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</xdr:colOff>
      <xdr:row>2</xdr:row>
      <xdr:rowOff>19050</xdr:rowOff>
    </xdr:from>
    <xdr:to>
      <xdr:col>12</xdr:col>
      <xdr:colOff>328612</xdr:colOff>
      <xdr:row>16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</xdr:colOff>
      <xdr:row>18</xdr:row>
      <xdr:rowOff>9525</xdr:rowOff>
    </xdr:from>
    <xdr:to>
      <xdr:col>12</xdr:col>
      <xdr:colOff>323850</xdr:colOff>
      <xdr:row>32</xdr:row>
      <xdr:rowOff>85725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9525</xdr:colOff>
      <xdr:row>34</xdr:row>
      <xdr:rowOff>19050</xdr:rowOff>
    </xdr:from>
    <xdr:to>
      <xdr:col>12</xdr:col>
      <xdr:colOff>314325</xdr:colOff>
      <xdr:row>48</xdr:row>
      <xdr:rowOff>95250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0"/>
  <sheetViews>
    <sheetView showGridLines="0" workbookViewId="0">
      <selection activeCell="B6" sqref="B6"/>
    </sheetView>
  </sheetViews>
  <sheetFormatPr defaultRowHeight="15"/>
  <cols>
    <col min="1" max="1" width="24.42578125" bestFit="1" customWidth="1"/>
    <col min="2" max="2" width="19" customWidth="1"/>
    <col min="3" max="3" width="13.5703125" customWidth="1"/>
    <col min="4" max="4" width="28.42578125" customWidth="1"/>
    <col min="5" max="5" width="25.85546875" customWidth="1"/>
    <col min="6" max="6" width="15.28515625" customWidth="1"/>
  </cols>
  <sheetData>
    <row r="1" spans="1:5">
      <c r="A1" s="28" t="s">
        <v>20</v>
      </c>
      <c r="B1" s="28"/>
      <c r="D1" s="29" t="s">
        <v>21</v>
      </c>
      <c r="E1" s="29"/>
    </row>
    <row r="2" spans="1:5">
      <c r="A2" s="1" t="s">
        <v>0</v>
      </c>
      <c r="B2" s="4">
        <v>50</v>
      </c>
      <c r="D2" s="1" t="s">
        <v>12</v>
      </c>
      <c r="E2" s="9">
        <f>BSMvanilla(Spot,Volatility,Rate,Divyield,Strike,Maturity,TRUE)</f>
        <v>5.0432865581311646</v>
      </c>
    </row>
    <row r="3" spans="1:5">
      <c r="A3" s="1" t="s">
        <v>1</v>
      </c>
      <c r="B3" s="5">
        <v>0.3</v>
      </c>
      <c r="D3" s="1" t="s">
        <v>13</v>
      </c>
      <c r="E3" s="9">
        <f>BSMvanilla(Spot,Volatility,Rate,Divyield,Strike,Maturity,FALSE)</f>
        <v>4.1513381760462096</v>
      </c>
    </row>
    <row r="4" spans="1:5">
      <c r="A4" s="1" t="s">
        <v>2</v>
      </c>
      <c r="B4" s="5">
        <v>0.03</v>
      </c>
      <c r="D4" s="1" t="s">
        <v>25</v>
      </c>
      <c r="E4" s="9">
        <f>BSMdigital(Spot,Volatility,Rate,Divyield,Strike,Maturity,TRUE,cashpayoff,FALSE)</f>
        <v>47.590897039908128</v>
      </c>
    </row>
    <row r="5" spans="1:5">
      <c r="A5" s="2" t="s">
        <v>11</v>
      </c>
      <c r="B5" s="6">
        <v>0</v>
      </c>
      <c r="D5" s="1" t="s">
        <v>26</v>
      </c>
      <c r="E5" s="9">
        <f>BSMdigital(Spot,Volatility,Rate,Divyield,Strike,Maturity,FALSE,cashpayoff,FALSE)</f>
        <v>50.625206195921947</v>
      </c>
    </row>
    <row r="6" spans="1:5">
      <c r="A6" s="1" t="s">
        <v>3</v>
      </c>
      <c r="B6" s="4">
        <v>50</v>
      </c>
      <c r="D6" s="1" t="s">
        <v>27</v>
      </c>
      <c r="E6" s="9">
        <f>BSMdigital(Spot,Volatility,Rate,Divyield,Strike,Maturity,TRUE)</f>
        <v>28.838735078085232</v>
      </c>
    </row>
    <row r="7" spans="1:5">
      <c r="A7" s="1" t="s">
        <v>17</v>
      </c>
      <c r="B7" s="4">
        <v>0.6</v>
      </c>
      <c r="D7" s="1" t="s">
        <v>28</v>
      </c>
      <c r="E7" s="9">
        <f>BSMdigital(Spot,Volatility,Rate,Divyield,Strike,Maturity,FALSE)</f>
        <v>21.161264921914764</v>
      </c>
    </row>
    <row r="8" spans="1:5">
      <c r="A8" s="2" t="s">
        <v>15</v>
      </c>
      <c r="B8" s="7" t="s">
        <v>64</v>
      </c>
    </row>
    <row r="9" spans="1:5">
      <c r="A9" s="3" t="s">
        <v>10</v>
      </c>
      <c r="B9" s="8" t="s">
        <v>18</v>
      </c>
    </row>
    <row r="10" spans="1:5">
      <c r="A10" s="2" t="s">
        <v>16</v>
      </c>
      <c r="B10" s="7" t="s">
        <v>65</v>
      </c>
    </row>
    <row r="11" spans="1:5">
      <c r="D11" s="2" t="s">
        <v>54</v>
      </c>
      <c r="E11" s="10">
        <v>2.2307469395086783</v>
      </c>
    </row>
    <row r="13" spans="1:5">
      <c r="D13" s="2" t="s">
        <v>30</v>
      </c>
      <c r="E13" s="10">
        <v>2.2307469395086783</v>
      </c>
    </row>
    <row r="14" spans="1:5">
      <c r="A14" s="1" t="s">
        <v>14</v>
      </c>
      <c r="B14" s="4">
        <v>70</v>
      </c>
    </row>
    <row r="15" spans="1:5">
      <c r="A15" s="1" t="s">
        <v>24</v>
      </c>
      <c r="B15" s="7" t="s">
        <v>31</v>
      </c>
    </row>
    <row r="16" spans="1:5">
      <c r="A16" s="2" t="s">
        <v>22</v>
      </c>
      <c r="B16" s="4">
        <v>100</v>
      </c>
    </row>
    <row r="19" spans="1:2">
      <c r="A19" s="28" t="s">
        <v>19</v>
      </c>
      <c r="B19" s="28"/>
    </row>
    <row r="20" spans="1:2">
      <c r="A20" s="1" t="s">
        <v>4</v>
      </c>
      <c r="B20" s="4">
        <v>3331</v>
      </c>
    </row>
    <row r="21" spans="1:2">
      <c r="A21" s="1" t="s">
        <v>23</v>
      </c>
      <c r="B21" s="4">
        <v>50</v>
      </c>
    </row>
    <row r="22" spans="1:2">
      <c r="A22" s="1" t="s">
        <v>7</v>
      </c>
      <c r="B22" s="4">
        <v>3</v>
      </c>
    </row>
    <row r="26" spans="1:2">
      <c r="A26" s="2" t="s">
        <v>8</v>
      </c>
      <c r="B26" s="1">
        <f>B21*B22</f>
        <v>150</v>
      </c>
    </row>
    <row r="27" spans="1:2">
      <c r="A27" s="2" t="s">
        <v>29</v>
      </c>
      <c r="B27" s="1">
        <f>INT(Maturity*(Rate+Volatility^2*(B26-1)^2)+1)</f>
        <v>1199</v>
      </c>
    </row>
    <row r="28" spans="1:2">
      <c r="A28" s="1" t="s">
        <v>5</v>
      </c>
      <c r="B28" s="1">
        <f>B7/B20</f>
        <v>1.8012608826178323E-4</v>
      </c>
    </row>
    <row r="29" spans="1:2">
      <c r="A29" s="1" t="s">
        <v>6</v>
      </c>
      <c r="B29" s="1">
        <f>B2/B21</f>
        <v>1</v>
      </c>
    </row>
    <row r="30" spans="1:2">
      <c r="A30" s="2" t="s">
        <v>9</v>
      </c>
      <c r="B30" s="1">
        <f>B26*B29</f>
        <v>150</v>
      </c>
    </row>
  </sheetData>
  <mergeCells count="3">
    <mergeCell ref="A1:B1"/>
    <mergeCell ref="A19:B19"/>
    <mergeCell ref="D1:E1"/>
  </mergeCells>
  <dataValidations count="4">
    <dataValidation type="list" allowBlank="1" showInputMessage="1" showErrorMessage="1" sqref="B8">
      <formula1>"E,A"</formula1>
    </dataValidation>
    <dataValidation type="list" allowBlank="1" showInputMessage="1" showErrorMessage="1" sqref="B9">
      <formula1>"Call,Put"</formula1>
    </dataValidation>
    <dataValidation type="list" allowBlank="1" showInputMessage="1" showErrorMessage="1" sqref="B10">
      <formula1>"Vanilla,Digital,Up &amp; Out,Down &amp; Out"</formula1>
    </dataValidation>
    <dataValidation type="list" allowBlank="1" showInputMessage="1" showErrorMessage="1" sqref="B15">
      <formula1>"Cash, Asset"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main_pricing">
                <anchor moveWithCells="1" sizeWithCells="1">
                  <from>
                    <xdr:col>5</xdr:col>
                    <xdr:colOff>542925</xdr:colOff>
                    <xdr:row>9</xdr:row>
                    <xdr:rowOff>76200</xdr:rowOff>
                  </from>
                  <to>
                    <xdr:col>7</xdr:col>
                    <xdr:colOff>114300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5" name="Button 94">
              <controlPr defaultSize="0" print="0" autoFill="0" autoPict="0" macro="[0]!main_princing_light">
                <anchor moveWithCells="1" sizeWithCells="1">
                  <from>
                    <xdr:col>5</xdr:col>
                    <xdr:colOff>542925</xdr:colOff>
                    <xdr:row>11</xdr:row>
                    <xdr:rowOff>171450</xdr:rowOff>
                  </from>
                  <to>
                    <xdr:col>7</xdr:col>
                    <xdr:colOff>114300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31"/>
  <sheetViews>
    <sheetView showGridLines="0" workbookViewId="0">
      <selection activeCell="F5" sqref="F5"/>
    </sheetView>
  </sheetViews>
  <sheetFormatPr defaultRowHeight="15"/>
  <cols>
    <col min="1" max="1" width="24.42578125" bestFit="1" customWidth="1"/>
    <col min="2" max="2" width="17.85546875" customWidth="1"/>
    <col min="3" max="3" width="15.140625" customWidth="1"/>
    <col min="4" max="4" width="13.85546875" bestFit="1" customWidth="1"/>
    <col min="5" max="5" width="6.140625" bestFit="1" customWidth="1"/>
    <col min="6" max="6" width="8.7109375" bestFit="1" customWidth="1"/>
    <col min="7" max="7" width="19" bestFit="1" customWidth="1"/>
    <col min="8" max="8" width="17.28515625" bestFit="1" customWidth="1"/>
    <col min="9" max="9" width="19" bestFit="1" customWidth="1"/>
    <col min="10" max="10" width="17.28515625" bestFit="1" customWidth="1"/>
    <col min="11" max="12" width="16.42578125" bestFit="1" customWidth="1"/>
    <col min="13" max="13" width="12" bestFit="1" customWidth="1"/>
  </cols>
  <sheetData>
    <row r="1" spans="1:10">
      <c r="A1" s="33" t="s">
        <v>32</v>
      </c>
      <c r="B1" s="33"/>
      <c r="D1" s="34" t="s">
        <v>55</v>
      </c>
      <c r="E1" s="35"/>
      <c r="F1" s="35"/>
      <c r="G1" s="35"/>
      <c r="H1" s="35"/>
      <c r="I1" s="35"/>
      <c r="J1" s="35"/>
    </row>
    <row r="2" spans="1:10">
      <c r="A2" s="1" t="s">
        <v>0</v>
      </c>
      <c r="B2" s="2">
        <v>6.7131999999999996</v>
      </c>
      <c r="D2" s="1"/>
      <c r="E2" s="13" t="s">
        <v>3</v>
      </c>
      <c r="F2" s="13" t="s">
        <v>39</v>
      </c>
      <c r="G2" s="13" t="s">
        <v>40</v>
      </c>
      <c r="H2" s="13" t="s">
        <v>38</v>
      </c>
      <c r="I2" s="17" t="s">
        <v>42</v>
      </c>
      <c r="J2" s="17" t="s">
        <v>43</v>
      </c>
    </row>
    <row r="3" spans="1:10">
      <c r="A3" s="1" t="s">
        <v>2</v>
      </c>
      <c r="B3" s="26">
        <v>2.5000000000000001E-2</v>
      </c>
      <c r="D3" s="2" t="s">
        <v>34</v>
      </c>
      <c r="E3" s="17">
        <v>7.7</v>
      </c>
      <c r="F3" s="17">
        <v>-10</v>
      </c>
      <c r="G3" s="17" t="s">
        <v>18</v>
      </c>
      <c r="H3" s="26">
        <v>7.1912632235721405E-2</v>
      </c>
      <c r="I3" s="1">
        <f>INT(S_Maturity*(S_Rate+S_Flex_IV1^2*($B$16-1)^2)+1)</f>
        <v>205</v>
      </c>
      <c r="J3" s="18">
        <f>BSMvanilla(S_Spot,S_Flex_IV1,S_Rate,S_Divy,S_Strike1,S_Maturity,IF(S_CP1="Call",TRUE,FALSE))</f>
        <v>1.304335919186278E-2</v>
      </c>
    </row>
    <row r="4" spans="1:10">
      <c r="A4" s="2" t="s">
        <v>11</v>
      </c>
      <c r="B4" s="27">
        <v>0</v>
      </c>
      <c r="D4" s="2" t="s">
        <v>35</v>
      </c>
      <c r="E4" s="17">
        <v>8.1999999999999993</v>
      </c>
      <c r="F4" s="17">
        <v>10</v>
      </c>
      <c r="G4" s="17" t="s">
        <v>18</v>
      </c>
      <c r="H4" s="26">
        <v>7.9111911832625906E-2</v>
      </c>
      <c r="I4" s="1">
        <f>INT(S_Maturity*(S_Rate+S_Flex_IV2^2*($B$16-1)^2)+1)</f>
        <v>248</v>
      </c>
      <c r="J4" s="18">
        <f>BSMvanilla(S_Spot,S_Flex_IV2,S_Rate,S_Divy,S_Strike2,S_Maturity,IF(S_CP2="Call",TRUE,FALSE))</f>
        <v>2.7297027886715843E-3</v>
      </c>
    </row>
    <row r="5" spans="1:10">
      <c r="A5" s="1" t="s">
        <v>17</v>
      </c>
      <c r="B5" s="2">
        <v>1</v>
      </c>
      <c r="D5" s="2" t="s">
        <v>36</v>
      </c>
      <c r="E5" s="17">
        <v>6.7</v>
      </c>
      <c r="F5" s="17">
        <v>-1</v>
      </c>
      <c r="G5" s="17" t="s">
        <v>18</v>
      </c>
      <c r="H5" s="26">
        <v>6.0824947819970797E-2</v>
      </c>
      <c r="I5" s="1">
        <f>INT(S_Maturity*(S_Rate+S_Flex_IV3^2*($B$16-1)^2)+1)</f>
        <v>147</v>
      </c>
      <c r="J5" s="18">
        <f>BSMvanilla(S_Spot,S_Flex_IV3,S_Rate,S_Divy,S_Strike3,S_Maturity,IF(S_CP3="Call",TRUE,FALSE))</f>
        <v>0.26555625165902474</v>
      </c>
    </row>
    <row r="6" spans="1:10">
      <c r="A6" s="2" t="s">
        <v>15</v>
      </c>
      <c r="B6" s="17" t="s">
        <v>66</v>
      </c>
      <c r="D6" s="2" t="s">
        <v>37</v>
      </c>
      <c r="E6" s="17">
        <v>6.7</v>
      </c>
      <c r="F6" s="17">
        <v>1</v>
      </c>
      <c r="G6" s="17" t="s">
        <v>44</v>
      </c>
      <c r="H6" s="26">
        <v>6.0824947819970797E-2</v>
      </c>
      <c r="I6" s="1">
        <f>INT(S_Maturity*(S_Rate+S_Flex_IV4^2*($B$16-1)^2)+1)</f>
        <v>147</v>
      </c>
      <c r="J6" s="18">
        <f>BSMvanilla(S_Spot,S_Flex_IV4,S_Rate,S_Divy,S_Strike4,S_Maturity,IF(S_CP4="Call",TRUE,FALSE))</f>
        <v>8.6932662248854181E-2</v>
      </c>
    </row>
    <row r="7" spans="1:10">
      <c r="A7" s="2" t="s">
        <v>33</v>
      </c>
      <c r="B7" s="17" t="s">
        <v>45</v>
      </c>
    </row>
    <row r="8" spans="1:10">
      <c r="D8" s="30" t="s">
        <v>56</v>
      </c>
      <c r="E8" s="30"/>
      <c r="F8" s="30"/>
      <c r="G8" s="30"/>
      <c r="H8" s="30"/>
    </row>
    <row r="9" spans="1:10">
      <c r="D9" s="1"/>
      <c r="E9" s="13" t="s">
        <v>3</v>
      </c>
      <c r="F9" s="13" t="s">
        <v>38</v>
      </c>
      <c r="G9" s="17" t="s">
        <v>42</v>
      </c>
      <c r="H9" s="17" t="s">
        <v>43</v>
      </c>
    </row>
    <row r="10" spans="1:10">
      <c r="D10" s="1" t="s">
        <v>52</v>
      </c>
      <c r="E10" s="17">
        <v>90</v>
      </c>
      <c r="F10" s="26">
        <v>0.3</v>
      </c>
      <c r="G10" s="1">
        <f>INT(S_Maturity*(S_Rate+S_Strangle_IV_p^2*($B$16-1)^2)+1)</f>
        <v>3565</v>
      </c>
      <c r="H10" s="1"/>
    </row>
    <row r="11" spans="1:10">
      <c r="A11" s="31" t="s">
        <v>19</v>
      </c>
      <c r="B11" s="32"/>
      <c r="D11" s="1" t="s">
        <v>53</v>
      </c>
      <c r="E11" s="17">
        <v>30</v>
      </c>
      <c r="F11" s="26">
        <v>0.3</v>
      </c>
      <c r="G11" s="1">
        <f>INT(S_Maturity*(S_Rate+S_Strangle_IV_c^2*($B$16-1)^2)+1)</f>
        <v>3565</v>
      </c>
      <c r="H11" s="1"/>
    </row>
    <row r="12" spans="1:10">
      <c r="A12" s="1" t="s">
        <v>4</v>
      </c>
      <c r="B12" s="2">
        <f>IF(B17&lt;100,100,B17)</f>
        <v>248</v>
      </c>
    </row>
    <row r="13" spans="1:10">
      <c r="A13" s="1" t="s">
        <v>23</v>
      </c>
      <c r="B13" s="2">
        <v>50</v>
      </c>
      <c r="D13" s="30" t="s">
        <v>57</v>
      </c>
      <c r="E13" s="30"/>
      <c r="F13" s="30"/>
      <c r="G13" s="30"/>
      <c r="H13" s="30"/>
    </row>
    <row r="14" spans="1:10">
      <c r="A14" s="1" t="s">
        <v>7</v>
      </c>
      <c r="B14" s="2">
        <v>4</v>
      </c>
      <c r="D14" s="1"/>
      <c r="E14" s="13" t="s">
        <v>3</v>
      </c>
      <c r="F14" s="13" t="s">
        <v>38</v>
      </c>
      <c r="G14" s="17" t="s">
        <v>42</v>
      </c>
      <c r="H14" s="17" t="s">
        <v>43</v>
      </c>
    </row>
    <row r="15" spans="1:10">
      <c r="D15" s="1" t="s">
        <v>59</v>
      </c>
      <c r="E15" s="17">
        <v>45</v>
      </c>
      <c r="F15" s="26">
        <v>0.9</v>
      </c>
      <c r="G15" s="1">
        <f>INT(S_Maturity*(S_Rate+S_Spread_IV1^2*($B$16-1)^2)+1)</f>
        <v>32077</v>
      </c>
      <c r="H15" s="1"/>
    </row>
    <row r="16" spans="1:10">
      <c r="A16" s="2" t="s">
        <v>8</v>
      </c>
      <c r="B16" s="1">
        <f>B13*B14</f>
        <v>200</v>
      </c>
      <c r="D16" s="1" t="s">
        <v>60</v>
      </c>
      <c r="E16" s="17">
        <v>55</v>
      </c>
      <c r="F16" s="26">
        <v>0.9</v>
      </c>
      <c r="G16" s="1">
        <f>INT(S_Maturity*(S_Rate+S_Spread_IV2^2*($B$16-1)^2)+1)</f>
        <v>32077</v>
      </c>
      <c r="H16" s="1"/>
    </row>
    <row r="17" spans="1:8">
      <c r="A17" s="2" t="s">
        <v>41</v>
      </c>
      <c r="B17" s="2">
        <f>IF(S_Strategy="Straddle", G20, (IF(S_Strategy="Strangle",MAX(G10:G11), IF(S_Strategy="Call spread", MAX(G15:G16), IF(S_Strategy="Put spread", MAX(G15:G16), MAX(I3:I6))))))</f>
        <v>248</v>
      </c>
    </row>
    <row r="18" spans="1:8">
      <c r="A18" s="1" t="s">
        <v>5</v>
      </c>
      <c r="B18" s="1">
        <f>B5/B12</f>
        <v>4.0322580645161289E-3</v>
      </c>
      <c r="D18" s="30" t="s">
        <v>58</v>
      </c>
      <c r="E18" s="30"/>
      <c r="F18" s="30"/>
      <c r="G18" s="30"/>
      <c r="H18" s="30"/>
    </row>
    <row r="19" spans="1:8">
      <c r="A19" s="1" t="s">
        <v>6</v>
      </c>
      <c r="B19" s="1">
        <f>B2/B13</f>
        <v>0.13426399999999999</v>
      </c>
      <c r="D19" s="19"/>
      <c r="E19" s="21" t="s">
        <v>3</v>
      </c>
      <c r="F19" s="21" t="s">
        <v>38</v>
      </c>
      <c r="G19" s="17" t="s">
        <v>42</v>
      </c>
      <c r="H19" s="17" t="s">
        <v>43</v>
      </c>
    </row>
    <row r="20" spans="1:8">
      <c r="A20" s="2" t="s">
        <v>9</v>
      </c>
      <c r="B20" s="1">
        <f>B16*B19</f>
        <v>26.852799999999998</v>
      </c>
      <c r="D20" s="1" t="s">
        <v>34</v>
      </c>
      <c r="E20" s="17">
        <v>50</v>
      </c>
      <c r="F20" s="26">
        <v>0.4</v>
      </c>
      <c r="G20" s="1">
        <f>INT(S_Maturity*(S_Rate+S_Straddle_IV^2*($B$16-1)^2)+1)</f>
        <v>6337</v>
      </c>
      <c r="H20" s="1"/>
    </row>
    <row r="21" spans="1:8">
      <c r="D21" s="15"/>
      <c r="E21" s="16"/>
      <c r="F21" s="20"/>
    </row>
    <row r="24" spans="1:8">
      <c r="A24" s="1"/>
      <c r="B24" s="12" t="s">
        <v>61</v>
      </c>
      <c r="C24" s="12" t="s">
        <v>62</v>
      </c>
      <c r="D24" s="12" t="s">
        <v>63</v>
      </c>
    </row>
    <row r="25" spans="1:8">
      <c r="A25" s="1" t="s">
        <v>46</v>
      </c>
      <c r="B25" s="24">
        <v>7.0655210627732418E-2</v>
      </c>
      <c r="C25" s="23">
        <f>BSMstrangle(S_Spot,S_Strangle_IV_c,S_Strangle_IV_p,S_Rate,S_Divy,S_Strike_c,S_Strike_p,S_Maturity)</f>
        <v>22.546097725457848</v>
      </c>
      <c r="D25" s="22">
        <f>(B25-C25)/C25</f>
        <v>-0.99686618893042622</v>
      </c>
    </row>
    <row r="26" spans="1:8">
      <c r="A26" s="1" t="s">
        <v>47</v>
      </c>
      <c r="B26" s="24">
        <v>12.277921482432497</v>
      </c>
      <c r="C26" s="23">
        <f>BSMstraddle(S_Spot,S_Straddle_IV,S_Rate,S_Divy,S_Straddle_Strike,S_Maturity)</f>
        <v>42.052296555157263</v>
      </c>
      <c r="D26" s="22">
        <f t="shared" ref="D26:D31" si="0">(B26-C26)/C26</f>
        <v>-0.70803208175971211</v>
      </c>
    </row>
    <row r="27" spans="1:8">
      <c r="A27" s="1" t="s">
        <v>48</v>
      </c>
      <c r="B27" s="24">
        <v>4.4498912342457819</v>
      </c>
      <c r="C27" s="23">
        <f>BSMspread(S_Spot,S_Spread_IV1,S_Spread_IV2,S_Rate,S_Divy,S_Spread_Strike1,S_Spread_Strike2,S_Maturity,TRUE)</f>
        <v>3.972602384125215E-2</v>
      </c>
      <c r="D27" s="22">
        <f t="shared" si="0"/>
        <v>111.01451350952829</v>
      </c>
    </row>
    <row r="28" spans="1:8">
      <c r="A28" s="1" t="s">
        <v>49</v>
      </c>
      <c r="B28" s="24">
        <v>-0.52212618717870019</v>
      </c>
      <c r="C28" s="23">
        <f>BSMspread(S_Spot,S_Spread_IV1,S_Spread_IV2,S_Rate,S_Divy,S_Spread_Strike1,S_Spread_Strike2,S_Maturity,FALSE)</f>
        <v>-9.7133730964420693</v>
      </c>
      <c r="D28" s="22">
        <f t="shared" si="0"/>
        <v>-0.94624666611746333</v>
      </c>
    </row>
    <row r="29" spans="1:8">
      <c r="A29" s="1" t="s">
        <v>50</v>
      </c>
      <c r="B29" s="24"/>
      <c r="C29" s="23"/>
      <c r="D29" s="22" t="e">
        <f t="shared" si="0"/>
        <v>#DIV/0!</v>
      </c>
    </row>
    <row r="30" spans="1:8">
      <c r="A30" s="1" t="s">
        <v>51</v>
      </c>
      <c r="B30" s="25"/>
      <c r="C30" s="23"/>
      <c r="D30" s="22" t="e">
        <f t="shared" si="0"/>
        <v>#DIV/0!</v>
      </c>
    </row>
    <row r="31" spans="1:8">
      <c r="A31" s="2" t="s">
        <v>45</v>
      </c>
      <c r="B31" s="25">
        <v>-0.28551716151258466</v>
      </c>
      <c r="C31" s="23">
        <f>S_Q1*J3+S_Q2*J4+S_Q3*J5+S_Q4*J6</f>
        <v>-0.28176015344208249</v>
      </c>
      <c r="D31" s="22">
        <f t="shared" si="0"/>
        <v>1.3334064538953487E-2</v>
      </c>
    </row>
  </sheetData>
  <dataConsolidate/>
  <mergeCells count="6">
    <mergeCell ref="D8:H8"/>
    <mergeCell ref="D13:H13"/>
    <mergeCell ref="D18:H18"/>
    <mergeCell ref="A11:B11"/>
    <mergeCell ref="A1:B1"/>
    <mergeCell ref="D1:J1"/>
  </mergeCells>
  <dataValidations count="6">
    <dataValidation type="list" allowBlank="1" showInputMessage="1" showErrorMessage="1" sqref="B7">
      <formula1>"Strangle, Straddle, Call spread, Put spread, Butterfly, Iron condor, Flex"</formula1>
    </dataValidation>
    <dataValidation type="list" allowBlank="1" showInputMessage="1" showErrorMessage="1" sqref="B6">
      <formula1>"European,American"</formula1>
    </dataValidation>
    <dataValidation type="decimal" operator="greaterThan" allowBlank="1" showInputMessage="1" showErrorMessage="1" promptTitle="Requirement" prompt="Only input a value greater than 0" sqref="E6 E4">
      <formula1>0</formula1>
    </dataValidation>
    <dataValidation type="decimal" operator="greaterThan" allowBlank="1" showInputMessage="1" showErrorMessage="1" promptTitle="Requirement" prompt="Time to maturity needs to be greater than 0" sqref="B5">
      <formula1>0</formula1>
    </dataValidation>
    <dataValidation type="list" allowBlank="1" showInputMessage="1" showErrorMessage="1" sqref="G3:G6">
      <formula1>"Call, Put"</formula1>
    </dataValidation>
    <dataValidation type="decimal" operator="greaterThanOrEqual" allowBlank="1" showInputMessage="1" showErrorMessage="1" sqref="B12">
      <formula1>B17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5" r:id="rId4" name="Button 15">
              <controlPr defaultSize="0" print="0" autoFill="0" autoPict="0" macro="[0]!main_strategy_pricing_test">
                <anchor moveWithCells="1" sizeWithCells="1">
                  <from>
                    <xdr:col>6</xdr:col>
                    <xdr:colOff>0</xdr:colOff>
                    <xdr:row>25</xdr:row>
                    <xdr:rowOff>180975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51"/>
  <sheetViews>
    <sheetView tabSelected="1" workbookViewId="0">
      <selection activeCell="A51" sqref="A51"/>
    </sheetView>
  </sheetViews>
  <sheetFormatPr defaultRowHeight="15"/>
  <cols>
    <col min="2" max="2" width="12.42578125" bestFit="1" customWidth="1"/>
    <col min="15" max="15" width="21.85546875" customWidth="1"/>
  </cols>
  <sheetData>
    <row r="1" spans="1:4">
      <c r="A1" s="14">
        <v>0</v>
      </c>
      <c r="B1" s="14">
        <v>0</v>
      </c>
      <c r="C1" s="14">
        <v>1.6153758109162529E-26</v>
      </c>
      <c r="D1" s="14">
        <v>6.8789446110900846E-24</v>
      </c>
    </row>
    <row r="2" spans="1:4">
      <c r="A2">
        <v>1</v>
      </c>
      <c r="B2">
        <v>1.6153758109162529E-26</v>
      </c>
      <c r="C2">
        <v>6.8950983691992467E-24</v>
      </c>
      <c r="D2">
        <v>8.0869698506459949E-22</v>
      </c>
    </row>
    <row r="3" spans="1:4">
      <c r="A3">
        <v>2</v>
      </c>
      <c r="B3">
        <v>1.3790196738398493E-23</v>
      </c>
      <c r="C3">
        <v>1.6174101238873081E-21</v>
      </c>
      <c r="D3">
        <v>8.5289198063144846E-20</v>
      </c>
    </row>
    <row r="4" spans="1:4">
      <c r="A4">
        <v>3</v>
      </c>
      <c r="B4">
        <v>3.2348364015327254E-21</v>
      </c>
      <c r="C4">
        <v>1.7058529122465888E-19</v>
      </c>
      <c r="D4">
        <v>5.0101013011273462E-18</v>
      </c>
    </row>
    <row r="5" spans="1:4">
      <c r="A5">
        <v>4</v>
      </c>
      <c r="B5">
        <v>3.4118437264605614E-19</v>
      </c>
      <c r="C5">
        <v>1.002182001237858E-17</v>
      </c>
      <c r="D5">
        <v>1.8513220600345975E-16</v>
      </c>
    </row>
    <row r="6" spans="1:4">
      <c r="A6">
        <v>5</v>
      </c>
      <c r="B6">
        <v>2.0046874861158693E-17</v>
      </c>
      <c r="C6">
        <v>3.7043499729814417E-16</v>
      </c>
      <c r="D6">
        <v>4.6584796347368707E-15</v>
      </c>
    </row>
    <row r="7" spans="1:4">
      <c r="A7">
        <v>6</v>
      </c>
      <c r="B7">
        <v>7.4121117896893439E-16</v>
      </c>
      <c r="C7">
        <v>9.3269810894861192E-15</v>
      </c>
      <c r="D7">
        <v>8.445538664762379E-14</v>
      </c>
    </row>
    <row r="8" spans="1:4">
      <c r="A8">
        <v>7</v>
      </c>
      <c r="B8">
        <v>1.8674009053833397E-14</v>
      </c>
      <c r="C8">
        <v>1.6928120829254572E-13</v>
      </c>
      <c r="D8">
        <v>1.1511835938764185E-12</v>
      </c>
    </row>
    <row r="9" spans="1:4">
      <c r="A9">
        <v>8</v>
      </c>
      <c r="B9">
        <v>3.3930362776406037E-13</v>
      </c>
      <c r="C9">
        <v>2.3116941688423231E-12</v>
      </c>
      <c r="D9">
        <v>1.2202169881408141E-11</v>
      </c>
    </row>
    <row r="10" spans="1:4">
      <c r="A10">
        <v>9</v>
      </c>
      <c r="B10">
        <v>4.6420623467384796E-12</v>
      </c>
      <c r="C10">
        <v>2.4573620971108829E-11</v>
      </c>
      <c r="D10">
        <v>1.0339365073585555E-10</v>
      </c>
    </row>
    <row r="11" spans="1:4">
      <c r="A11">
        <v>10</v>
      </c>
      <c r="B11">
        <v>4.9486545569981717E-11</v>
      </c>
      <c r="C11">
        <v>2.0909899564055342E-10</v>
      </c>
      <c r="D11">
        <v>7.1680710130168578E-10</v>
      </c>
    </row>
    <row r="12" spans="1:4">
      <c r="A12">
        <v>11</v>
      </c>
      <c r="B12">
        <v>4.2284005362784529E-10</v>
      </c>
      <c r="C12">
        <v>1.4581878235744804E-9</v>
      </c>
      <c r="D12">
        <v>4.1479242734567279E-9</v>
      </c>
    </row>
    <row r="13" spans="1:4">
      <c r="A13">
        <v>12</v>
      </c>
      <c r="B13">
        <v>2.9658621927189426E-9</v>
      </c>
      <c r="C13">
        <v>8.5049475425540094E-9</v>
      </c>
      <c r="D13">
        <v>2.0386885473116598E-8</v>
      </c>
    </row>
    <row r="14" spans="1:4">
      <c r="A14">
        <v>13</v>
      </c>
      <c r="B14">
        <v>1.7432735138735863E-8</v>
      </c>
      <c r="C14">
        <v>4.2231958769807673E-8</v>
      </c>
      <c r="D14">
        <v>8.6428547999497723E-8</v>
      </c>
    </row>
    <row r="15" spans="1:4">
      <c r="A15">
        <v>14</v>
      </c>
      <c r="B15">
        <v>8.7429779732334285E-8</v>
      </c>
      <c r="C15">
        <v>1.8136204354154946E-7</v>
      </c>
      <c r="D15">
        <v>3.2042173771455044E-7</v>
      </c>
    </row>
    <row r="16" spans="1:4">
      <c r="A16">
        <v>15</v>
      </c>
      <c r="B16">
        <v>3.801568222218348E-7</v>
      </c>
      <c r="C16">
        <v>6.8307543419890854E-7</v>
      </c>
      <c r="D16">
        <v>1.0517314481186047E-6</v>
      </c>
    </row>
    <row r="17" spans="1:15">
      <c r="A17">
        <v>16</v>
      </c>
      <c r="B17">
        <v>1.4535806481301513E-6</v>
      </c>
      <c r="C17">
        <v>2.2848249397787588E-6</v>
      </c>
      <c r="D17">
        <v>3.0905352395634026E-6</v>
      </c>
    </row>
    <row r="18" spans="1:15">
      <c r="A18">
        <v>17</v>
      </c>
      <c r="B18">
        <v>4.9498067017793526E-6</v>
      </c>
      <c r="C18">
        <v>6.8641459133257139E-6</v>
      </c>
      <c r="D18">
        <v>8.2123050618787719E-6</v>
      </c>
    </row>
    <row r="19" spans="1:15">
      <c r="A19">
        <v>18</v>
      </c>
      <c r="B19">
        <v>1.5181872474781579E-5</v>
      </c>
      <c r="C19">
        <v>1.8709435063536304E-5</v>
      </c>
      <c r="D19">
        <v>1.9912774151122752E-5</v>
      </c>
    </row>
    <row r="20" spans="1:15">
      <c r="A20">
        <v>19</v>
      </c>
      <c r="B20">
        <v>4.2368676828851962E-5</v>
      </c>
      <c r="C20">
        <v>4.6689694215571218E-5</v>
      </c>
      <c r="D20">
        <v>4.4420303688376338E-5</v>
      </c>
    </row>
    <row r="21" spans="1:15">
      <c r="A21">
        <v>20</v>
      </c>
      <c r="B21">
        <v>1.0856126090592401E-4</v>
      </c>
      <c r="C21">
        <v>1.0755004244028898E-4</v>
      </c>
      <c r="D21">
        <v>9.1835395366712978E-5</v>
      </c>
    </row>
    <row r="22" spans="1:15">
      <c r="A22">
        <v>21</v>
      </c>
      <c r="B22">
        <v>2.5746876170942991E-4</v>
      </c>
      <c r="C22">
        <v>2.3036048494899718E-4</v>
      </c>
      <c r="D22">
        <v>1.7712935865885212E-4</v>
      </c>
    </row>
    <row r="23" spans="1:15">
      <c r="A23">
        <v>22</v>
      </c>
      <c r="B23">
        <v>5.6928223080391835E-4</v>
      </c>
      <c r="C23">
        <v>4.6180875975799325E-4</v>
      </c>
      <c r="D23">
        <v>3.2062677303764265E-4</v>
      </c>
    </row>
    <row r="24" spans="1:15">
      <c r="A24">
        <v>23</v>
      </c>
      <c r="B24">
        <v>1.1810862812254165E-3</v>
      </c>
      <c r="C24">
        <v>8.7161403102428247E-4</v>
      </c>
      <c r="D24">
        <v>5.4757419715133096E-4</v>
      </c>
    </row>
    <row r="25" spans="1:15">
      <c r="A25">
        <v>24</v>
      </c>
      <c r="B25">
        <v>2.3125102928524834E-3</v>
      </c>
      <c r="C25">
        <v>1.5569571540606552E-3</v>
      </c>
      <c r="D25">
        <v>8.8649439576831432E-4</v>
      </c>
    </row>
    <row r="26" spans="1:15">
      <c r="A26">
        <v>25</v>
      </c>
      <c r="B26">
        <v>4.295000589346727E-3</v>
      </c>
      <c r="C26">
        <v>2.6446028225609111E-3</v>
      </c>
      <c r="D26">
        <v>1.3662364199954397E-3</v>
      </c>
    </row>
    <row r="27" spans="1:15">
      <c r="A27">
        <v>26</v>
      </c>
      <c r="B27">
        <v>7.6017159379743061E-3</v>
      </c>
      <c r="C27">
        <v>4.2894299940515346E-3</v>
      </c>
      <c r="D27">
        <v>2.011912301570802E-3</v>
      </c>
      <c r="O27" s="11"/>
    </row>
    <row r="28" spans="1:15">
      <c r="A28">
        <v>27</v>
      </c>
      <c r="B28">
        <v>1.2873860577449797E-2</v>
      </c>
      <c r="C28">
        <v>6.6684274257025151E-3</v>
      </c>
      <c r="D28">
        <v>2.8401905318769472E-3</v>
      </c>
    </row>
    <row r="29" spans="1:15">
      <c r="A29">
        <v>28</v>
      </c>
      <c r="B29">
        <v>2.0938570789379336E-2</v>
      </c>
      <c r="C29">
        <v>9.9698110578054291E-3</v>
      </c>
      <c r="D29">
        <v>3.8546224302644879E-3</v>
      </c>
    </row>
    <row r="30" spans="1:15">
      <c r="A30">
        <v>29</v>
      </c>
      <c r="B30">
        <v>3.2813482693060655E-2</v>
      </c>
      <c r="C30">
        <v>1.4377672286231491E-2</v>
      </c>
      <c r="D30">
        <v>5.0417576037666001E-3</v>
      </c>
    </row>
    <row r="31" spans="1:15">
      <c r="A31">
        <v>30</v>
      </c>
      <c r="B31">
        <v>4.9693915361842318E-2</v>
      </c>
      <c r="C31">
        <v>2.0053326265338629E-2</v>
      </c>
      <c r="D31">
        <v>6.3687400107611102E-3</v>
      </c>
    </row>
    <row r="32" spans="1:15">
      <c r="A32">
        <v>31</v>
      </c>
      <c r="B32">
        <v>7.2920135223737914E-2</v>
      </c>
      <c r="C32">
        <v>2.7115152307753711E-2</v>
      </c>
      <c r="D32">
        <v>7.7828827703616925E-3</v>
      </c>
    </row>
    <row r="33" spans="1:4">
      <c r="A33">
        <v>32</v>
      </c>
      <c r="B33">
        <v>0.10392421997734974</v>
      </c>
      <c r="C33">
        <v>3.5619091806062014E-2</v>
      </c>
      <c r="D33">
        <v>9.2134407639553346E-3</v>
      </c>
    </row>
    <row r="34" spans="1:4">
      <c r="A34">
        <v>33</v>
      </c>
      <c r="B34">
        <v>0.14415831883586194</v>
      </c>
      <c r="C34">
        <v>4.5542033835664381E-2</v>
      </c>
      <c r="D34">
        <v>1.0575491464059728E-2</v>
      </c>
    </row>
    <row r="35" spans="1:4">
      <c r="A35">
        <v>34</v>
      </c>
      <c r="B35">
        <v>0.1950082876486785</v>
      </c>
      <c r="C35">
        <v>5.6770074734181469E-2</v>
      </c>
      <c r="D35">
        <v>1.1775551620587438E-2</v>
      </c>
    </row>
    <row r="36" spans="1:4">
      <c r="A36">
        <v>35</v>
      </c>
      <c r="B36">
        <v>0.25769846830422488</v>
      </c>
      <c r="C36">
        <v>6.9093137076839256E-2</v>
      </c>
      <c r="D36">
        <v>1.2718343840364271E-2</v>
      </c>
    </row>
    <row r="37" spans="1:4">
      <c r="A37">
        <v>36</v>
      </c>
      <c r="B37">
        <v>0.33319456180235701</v>
      </c>
      <c r="C37">
        <v>8.2206762414910012E-2</v>
      </c>
      <c r="D37">
        <v>1.3314008070322597E-2</v>
      </c>
    </row>
    <row r="38" spans="1:4">
      <c r="A38">
        <v>37</v>
      </c>
      <c r="B38">
        <v>0.4221119931340449</v>
      </c>
      <c r="C38">
        <v>9.572115321748445E-2</v>
      </c>
      <c r="D38">
        <v>1.3485034694106904E-2</v>
      </c>
    </row>
    <row r="39" spans="1:4">
      <c r="A39">
        <v>38</v>
      </c>
      <c r="B39">
        <v>0.52463686823732592</v>
      </c>
      <c r="C39">
        <v>0.10917683180312382</v>
      </c>
      <c r="D39">
        <v>1.3172268061516182E-2</v>
      </c>
    </row>
    <row r="40" spans="1:4">
      <c r="A40">
        <v>39</v>
      </c>
      <c r="B40">
        <v>0.64046565674029254</v>
      </c>
      <c r="C40">
        <v>0.12206568934051681</v>
      </c>
      <c r="D40">
        <v>1.2339470030226424E-2</v>
      </c>
    </row>
    <row r="41" spans="1:4">
      <c r="A41">
        <v>40</v>
      </c>
      <c r="B41">
        <v>0.76876824691835954</v>
      </c>
      <c r="C41">
        <v>0.13385577186357667</v>
      </c>
      <c r="D41">
        <v>1.0976115051723134E-2</v>
      </c>
    </row>
    <row r="42" spans="1:4">
      <c r="A42">
        <v>41</v>
      </c>
      <c r="B42">
        <v>0.90817720046744588</v>
      </c>
      <c r="C42">
        <v>0.14401791944396308</v>
      </c>
      <c r="D42">
        <v>9.0982835731181766E-3</v>
      </c>
    </row>
    <row r="43" spans="1:4">
      <c r="A43">
        <v>42</v>
      </c>
      <c r="B43">
        <v>1.0568040858062857</v>
      </c>
      <c r="C43">
        <v>0.15205233900981302</v>
      </c>
      <c r="D43">
        <v>6.7477047076116847E-3</v>
      </c>
    </row>
    <row r="44" spans="1:4">
      <c r="A44">
        <v>43</v>
      </c>
      <c r="B44">
        <v>1.2122818784870719</v>
      </c>
      <c r="C44">
        <v>0.15751332885918645</v>
      </c>
      <c r="D44">
        <v>3.9891539320007496E-3</v>
      </c>
    </row>
    <row r="45" spans="1:4">
      <c r="A45">
        <v>44</v>
      </c>
      <c r="B45">
        <v>1.3718307435246586</v>
      </c>
      <c r="C45">
        <v>0.16003064687381452</v>
      </c>
      <c r="D45">
        <v>9.0652570201793514E-4</v>
      </c>
    </row>
    <row r="46" spans="1:4">
      <c r="A46">
        <v>45</v>
      </c>
      <c r="B46">
        <v>1.532343172234701</v>
      </c>
      <c r="C46">
        <v>0.15932638026322232</v>
      </c>
      <c r="D46">
        <v>-2.4020301564426361E-3</v>
      </c>
    </row>
    <row r="47" spans="1:4">
      <c r="A47">
        <v>46</v>
      </c>
      <c r="B47">
        <v>1.6904835040511033</v>
      </c>
      <c r="C47">
        <v>0.15522658656092925</v>
      </c>
      <c r="D47">
        <v>-5.8294943468130134E-3</v>
      </c>
    </row>
    <row r="48" spans="1:4">
      <c r="A48">
        <v>47</v>
      </c>
      <c r="B48">
        <v>1.8427963453565595</v>
      </c>
      <c r="C48">
        <v>0.1476673915695963</v>
      </c>
      <c r="D48">
        <v>-9.2654856275892761E-3</v>
      </c>
    </row>
    <row r="49" spans="1:4">
      <c r="A49">
        <v>48</v>
      </c>
      <c r="B49">
        <v>1.9858182871902958</v>
      </c>
      <c r="C49">
        <v>0.1366956153057507</v>
      </c>
      <c r="D49">
        <v>-1.2601532705202534E-2</v>
      </c>
    </row>
    <row r="50" spans="1:4">
      <c r="A50">
        <v>49</v>
      </c>
      <c r="B50">
        <v>2.1161875759680608</v>
      </c>
      <c r="C50">
        <v>0.12246432615919123</v>
      </c>
      <c r="D50">
        <v>-1.573581740769231E-2</v>
      </c>
    </row>
    <row r="51" spans="1:4">
      <c r="A51">
        <v>50</v>
      </c>
      <c r="B51">
        <v>2.2307469395086783</v>
      </c>
      <c r="C51">
        <v>0.10522398049036608</v>
      </c>
      <c r="D51">
        <v>-1.8577171698568151E-2</v>
      </c>
    </row>
    <row r="52" spans="1:4">
      <c r="A52">
        <v>51</v>
      </c>
      <c r="B52">
        <v>2.326635536948793</v>
      </c>
      <c r="C52">
        <v>8.5309982762054926E-2</v>
      </c>
      <c r="D52">
        <v>-2.1048189889204427E-2</v>
      </c>
    </row>
    <row r="53" spans="1:4">
      <c r="A53">
        <v>52</v>
      </c>
      <c r="B53">
        <v>2.4013669050327882</v>
      </c>
      <c r="C53">
        <v>6.3127600711957221E-2</v>
      </c>
      <c r="D53">
        <v>-2.3087392575723009E-2</v>
      </c>
    </row>
    <row r="54" spans="1:4">
      <c r="A54">
        <v>53</v>
      </c>
      <c r="B54">
        <v>2.4528907383727074</v>
      </c>
      <c r="C54">
        <v>3.9135197610608907E-2</v>
      </c>
      <c r="D54">
        <v>-2.4650445369998053E-2</v>
      </c>
    </row>
    <row r="55" spans="1:4">
      <c r="A55">
        <v>54</v>
      </c>
      <c r="B55">
        <v>2.479637300254006</v>
      </c>
      <c r="C55">
        <v>1.3826709971961115E-2</v>
      </c>
      <c r="D55">
        <v>-2.5710490225783644E-2</v>
      </c>
    </row>
    <row r="56" spans="1:4">
      <c r="A56">
        <v>55</v>
      </c>
      <c r="B56">
        <v>2.4805441583166297</v>
      </c>
      <c r="C56">
        <v>-1.2285782840958381E-2</v>
      </c>
      <c r="D56">
        <v>-2.6257688532462242E-2</v>
      </c>
    </row>
    <row r="57" spans="1:4">
      <c r="A57">
        <v>56</v>
      </c>
      <c r="B57">
        <v>2.4550657345720892</v>
      </c>
      <c r="C57">
        <v>-3.8688667092963369E-2</v>
      </c>
      <c r="D57">
        <v>-2.6298102983341232E-2</v>
      </c>
    </row>
    <row r="58" spans="1:4">
      <c r="A58">
        <v>57</v>
      </c>
      <c r="B58">
        <v>2.4031668241307029</v>
      </c>
      <c r="C58">
        <v>-6.4881988807640845E-2</v>
      </c>
      <c r="D58">
        <v>-2.5852060393985132E-2</v>
      </c>
    </row>
    <row r="59" spans="1:4">
      <c r="A59">
        <v>58</v>
      </c>
      <c r="B59">
        <v>2.3253017569568075</v>
      </c>
      <c r="C59">
        <v>-9.0392787880933634E-2</v>
      </c>
      <c r="D59">
        <v>-2.4952141740345213E-2</v>
      </c>
    </row>
    <row r="60" spans="1:4">
      <c r="A60">
        <v>59</v>
      </c>
      <c r="B60">
        <v>2.2223812483688357</v>
      </c>
      <c r="C60">
        <v>-0.11478627228833127</v>
      </c>
      <c r="D60">
        <v>-2.3640940718152037E-2</v>
      </c>
    </row>
    <row r="61" spans="1:4">
      <c r="A61">
        <v>60</v>
      </c>
      <c r="B61">
        <v>2.095729212380145</v>
      </c>
      <c r="C61">
        <v>-0.13767466931723771</v>
      </c>
      <c r="D61">
        <v>-2.1968720269809561E-2</v>
      </c>
    </row>
    <row r="62" spans="1:4">
      <c r="A62">
        <v>61</v>
      </c>
      <c r="B62">
        <v>1.9470319097343602</v>
      </c>
      <c r="C62">
        <v>-0.15872371282795039</v>
      </c>
      <c r="D62">
        <v>-1.9991079922359822E-2</v>
      </c>
    </row>
    <row r="63" spans="1:4">
      <c r="A63">
        <v>62</v>
      </c>
      <c r="B63">
        <v>1.7782817867242442</v>
      </c>
      <c r="C63">
        <v>-0.17765682916195735</v>
      </c>
      <c r="D63">
        <v>-1.7766727389834425E-2</v>
      </c>
    </row>
    <row r="64" spans="1:4">
      <c r="A64">
        <v>63</v>
      </c>
      <c r="B64">
        <v>1.5917182514104455</v>
      </c>
      <c r="C64">
        <v>-0.19425716760761924</v>
      </c>
      <c r="D64">
        <v>-1.5355427403030586E-2</v>
      </c>
    </row>
    <row r="65" spans="1:4">
      <c r="A65">
        <v>64</v>
      </c>
      <c r="B65">
        <v>1.3897674515090057</v>
      </c>
      <c r="C65">
        <v>-0.20836768396801852</v>
      </c>
      <c r="D65">
        <v>-1.2816180508172181E-2</v>
      </c>
    </row>
    <row r="66" spans="1:4">
      <c r="A66">
        <v>65</v>
      </c>
      <c r="B66">
        <v>1.1749828834744085</v>
      </c>
      <c r="C66">
        <v>-0.2198895286239636</v>
      </c>
      <c r="D66">
        <v>-1.0205665661588925E-2</v>
      </c>
    </row>
    <row r="67" spans="1:4">
      <c r="A67">
        <v>66</v>
      </c>
      <c r="B67">
        <v>0.94998839426107851</v>
      </c>
      <c r="C67">
        <v>-0.22877901529119637</v>
      </c>
      <c r="D67">
        <v>-7.5769635636096233E-3</v>
      </c>
    </row>
    <row r="68" spans="1:4">
      <c r="A68">
        <v>67</v>
      </c>
      <c r="B68">
        <v>0.71742485289201574</v>
      </c>
      <c r="C68">
        <v>-0.23504345575118285</v>
      </c>
      <c r="D68">
        <v>-4.9785632619348819E-3</v>
      </c>
    </row>
    <row r="69" spans="1:4">
      <c r="A69">
        <v>68</v>
      </c>
      <c r="B69">
        <v>0.47990148275871281</v>
      </c>
      <c r="C69">
        <v>-0.23873614181506614</v>
      </c>
      <c r="D69">
        <v>-2.4536428140867761E-3</v>
      </c>
    </row>
    <row r="70" spans="1:4">
      <c r="A70">
        <v>69</v>
      </c>
      <c r="B70">
        <v>0.23995256926188349</v>
      </c>
      <c r="C70">
        <v>-0.2399507413793564</v>
      </c>
      <c r="D70">
        <v>5.9379928592062196E-2</v>
      </c>
    </row>
    <row r="71" spans="1:4">
      <c r="A71">
        <v>70</v>
      </c>
      <c r="B71">
        <v>0</v>
      </c>
      <c r="C71">
        <v>-0.11997628463094175</v>
      </c>
      <c r="D71">
        <v>0.1199753706896782</v>
      </c>
    </row>
    <row r="72" spans="1:4">
      <c r="A72">
        <v>71</v>
      </c>
      <c r="B72">
        <v>0</v>
      </c>
      <c r="C72">
        <v>0</v>
      </c>
      <c r="D72">
        <v>5.9988142315470873E-2</v>
      </c>
    </row>
    <row r="73" spans="1:4">
      <c r="A73">
        <v>72</v>
      </c>
      <c r="B73">
        <v>0</v>
      </c>
      <c r="C73">
        <v>0</v>
      </c>
      <c r="D73">
        <v>0</v>
      </c>
    </row>
    <row r="74" spans="1:4">
      <c r="A74">
        <v>73</v>
      </c>
      <c r="B74">
        <v>0</v>
      </c>
      <c r="C74">
        <v>0</v>
      </c>
      <c r="D74">
        <v>0</v>
      </c>
    </row>
    <row r="75" spans="1:4">
      <c r="A75">
        <v>74</v>
      </c>
      <c r="B75">
        <v>0</v>
      </c>
      <c r="C75">
        <v>0</v>
      </c>
      <c r="D75">
        <v>0</v>
      </c>
    </row>
    <row r="76" spans="1:4">
      <c r="A76">
        <v>75</v>
      </c>
      <c r="B76">
        <v>0</v>
      </c>
      <c r="C76">
        <v>0</v>
      </c>
      <c r="D76">
        <v>0</v>
      </c>
    </row>
    <row r="77" spans="1:4">
      <c r="A77">
        <v>76</v>
      </c>
      <c r="B77">
        <v>0</v>
      </c>
      <c r="C77">
        <v>0</v>
      </c>
      <c r="D77">
        <v>0</v>
      </c>
    </row>
    <row r="78" spans="1:4">
      <c r="A78">
        <v>77</v>
      </c>
      <c r="B78">
        <v>0</v>
      </c>
      <c r="C78">
        <v>0</v>
      </c>
      <c r="D78">
        <v>0</v>
      </c>
    </row>
    <row r="79" spans="1:4">
      <c r="A79">
        <v>78</v>
      </c>
      <c r="B79">
        <v>0</v>
      </c>
      <c r="C79">
        <v>0</v>
      </c>
      <c r="D79">
        <v>0</v>
      </c>
    </row>
    <row r="80" spans="1:4">
      <c r="A80">
        <v>79</v>
      </c>
      <c r="B80">
        <v>0</v>
      </c>
      <c r="C80">
        <v>0</v>
      </c>
      <c r="D80">
        <v>0</v>
      </c>
    </row>
    <row r="81" spans="1:4">
      <c r="A81">
        <v>80</v>
      </c>
      <c r="B81">
        <v>0</v>
      </c>
      <c r="C81">
        <v>0</v>
      </c>
      <c r="D81">
        <v>0</v>
      </c>
    </row>
    <row r="82" spans="1:4">
      <c r="A82">
        <v>81</v>
      </c>
      <c r="B82">
        <v>0</v>
      </c>
      <c r="C82">
        <v>0</v>
      </c>
      <c r="D82">
        <v>0</v>
      </c>
    </row>
    <row r="83" spans="1:4">
      <c r="A83">
        <v>82</v>
      </c>
      <c r="B83">
        <v>0</v>
      </c>
      <c r="C83">
        <v>0</v>
      </c>
      <c r="D83">
        <v>0</v>
      </c>
    </row>
    <row r="84" spans="1:4">
      <c r="A84">
        <v>83</v>
      </c>
      <c r="B84">
        <v>0</v>
      </c>
      <c r="C84">
        <v>0</v>
      </c>
      <c r="D84">
        <v>0</v>
      </c>
    </row>
    <row r="85" spans="1:4">
      <c r="A85">
        <v>84</v>
      </c>
      <c r="B85">
        <v>0</v>
      </c>
      <c r="C85">
        <v>0</v>
      </c>
      <c r="D85">
        <v>0</v>
      </c>
    </row>
    <row r="86" spans="1:4">
      <c r="A86">
        <v>85</v>
      </c>
      <c r="B86">
        <v>0</v>
      </c>
      <c r="C86">
        <v>0</v>
      </c>
      <c r="D86">
        <v>0</v>
      </c>
    </row>
    <row r="87" spans="1:4">
      <c r="A87">
        <v>86</v>
      </c>
      <c r="B87">
        <v>0</v>
      </c>
      <c r="C87">
        <v>0</v>
      </c>
      <c r="D87">
        <v>0</v>
      </c>
    </row>
    <row r="88" spans="1:4">
      <c r="A88">
        <v>87</v>
      </c>
      <c r="B88">
        <v>0</v>
      </c>
      <c r="C88">
        <v>0</v>
      </c>
      <c r="D88">
        <v>0</v>
      </c>
    </row>
    <row r="89" spans="1:4">
      <c r="A89">
        <v>88</v>
      </c>
      <c r="B89">
        <v>0</v>
      </c>
      <c r="C89">
        <v>0</v>
      </c>
      <c r="D89">
        <v>0</v>
      </c>
    </row>
    <row r="90" spans="1:4">
      <c r="A90">
        <v>89</v>
      </c>
      <c r="B90">
        <v>0</v>
      </c>
      <c r="C90">
        <v>0</v>
      </c>
      <c r="D90">
        <v>0</v>
      </c>
    </row>
    <row r="91" spans="1:4">
      <c r="A91">
        <v>90</v>
      </c>
      <c r="B91">
        <v>0</v>
      </c>
      <c r="C91">
        <v>0</v>
      </c>
      <c r="D91">
        <v>0</v>
      </c>
    </row>
    <row r="92" spans="1:4">
      <c r="A92">
        <v>91</v>
      </c>
      <c r="B92">
        <v>0</v>
      </c>
      <c r="C92">
        <v>0</v>
      </c>
      <c r="D92">
        <v>0</v>
      </c>
    </row>
    <row r="93" spans="1:4">
      <c r="A93">
        <v>92</v>
      </c>
      <c r="B93">
        <v>0</v>
      </c>
      <c r="C93">
        <v>0</v>
      </c>
      <c r="D93">
        <v>0</v>
      </c>
    </row>
    <row r="94" spans="1:4">
      <c r="A94">
        <v>93</v>
      </c>
      <c r="B94">
        <v>0</v>
      </c>
      <c r="C94">
        <v>0</v>
      </c>
      <c r="D94">
        <v>0</v>
      </c>
    </row>
    <row r="95" spans="1:4">
      <c r="A95">
        <v>94</v>
      </c>
      <c r="B95">
        <v>0</v>
      </c>
      <c r="C95">
        <v>0</v>
      </c>
      <c r="D95">
        <v>0</v>
      </c>
    </row>
    <row r="96" spans="1:4">
      <c r="A96">
        <v>95</v>
      </c>
      <c r="B96">
        <v>0</v>
      </c>
      <c r="C96">
        <v>0</v>
      </c>
      <c r="D96">
        <v>0</v>
      </c>
    </row>
    <row r="97" spans="1:4">
      <c r="A97">
        <v>96</v>
      </c>
      <c r="B97">
        <v>0</v>
      </c>
      <c r="C97">
        <v>0</v>
      </c>
      <c r="D97">
        <v>0</v>
      </c>
    </row>
    <row r="98" spans="1:4">
      <c r="A98">
        <v>97</v>
      </c>
      <c r="B98">
        <v>0</v>
      </c>
      <c r="C98">
        <v>0</v>
      </c>
      <c r="D98">
        <v>0</v>
      </c>
    </row>
    <row r="99" spans="1:4">
      <c r="A99">
        <v>98</v>
      </c>
      <c r="B99">
        <v>0</v>
      </c>
      <c r="C99">
        <v>0</v>
      </c>
      <c r="D99">
        <v>0</v>
      </c>
    </row>
    <row r="100" spans="1:4">
      <c r="A100">
        <v>99</v>
      </c>
      <c r="B100">
        <v>0</v>
      </c>
      <c r="C100">
        <v>0</v>
      </c>
      <c r="D100">
        <v>0</v>
      </c>
    </row>
    <row r="101" spans="1:4">
      <c r="A101">
        <v>100</v>
      </c>
      <c r="B101">
        <v>0</v>
      </c>
      <c r="C101">
        <v>0</v>
      </c>
      <c r="D101">
        <v>0</v>
      </c>
    </row>
    <row r="102" spans="1:4">
      <c r="A102">
        <v>101</v>
      </c>
      <c r="B102">
        <v>0</v>
      </c>
      <c r="C102">
        <v>0</v>
      </c>
      <c r="D102">
        <v>0</v>
      </c>
    </row>
    <row r="103" spans="1:4">
      <c r="A103">
        <v>102</v>
      </c>
      <c r="B103">
        <v>0</v>
      </c>
      <c r="C103">
        <v>0</v>
      </c>
      <c r="D103">
        <v>0</v>
      </c>
    </row>
    <row r="104" spans="1:4">
      <c r="A104">
        <v>103</v>
      </c>
      <c r="B104">
        <v>0</v>
      </c>
      <c r="C104">
        <v>0</v>
      </c>
      <c r="D104">
        <v>0</v>
      </c>
    </row>
    <row r="105" spans="1:4">
      <c r="A105">
        <v>104</v>
      </c>
      <c r="B105">
        <v>0</v>
      </c>
      <c r="C105">
        <v>0</v>
      </c>
      <c r="D105">
        <v>0</v>
      </c>
    </row>
    <row r="106" spans="1:4">
      <c r="A106">
        <v>105</v>
      </c>
      <c r="B106">
        <v>0</v>
      </c>
      <c r="C106">
        <v>0</v>
      </c>
      <c r="D106">
        <v>0</v>
      </c>
    </row>
    <row r="107" spans="1:4">
      <c r="A107">
        <v>106</v>
      </c>
      <c r="B107">
        <v>0</v>
      </c>
      <c r="C107">
        <v>0</v>
      </c>
      <c r="D107">
        <v>0</v>
      </c>
    </row>
    <row r="108" spans="1:4">
      <c r="A108">
        <v>107</v>
      </c>
      <c r="B108">
        <v>0</v>
      </c>
      <c r="C108">
        <v>0</v>
      </c>
      <c r="D108">
        <v>0</v>
      </c>
    </row>
    <row r="109" spans="1:4">
      <c r="A109">
        <v>108</v>
      </c>
      <c r="B109">
        <v>0</v>
      </c>
      <c r="C109">
        <v>0</v>
      </c>
      <c r="D109">
        <v>0</v>
      </c>
    </row>
    <row r="110" spans="1:4">
      <c r="A110">
        <v>109</v>
      </c>
      <c r="B110">
        <v>0</v>
      </c>
      <c r="C110">
        <v>0</v>
      </c>
      <c r="D110">
        <v>0</v>
      </c>
    </row>
    <row r="111" spans="1:4">
      <c r="A111">
        <v>110</v>
      </c>
      <c r="B111">
        <v>0</v>
      </c>
      <c r="C111">
        <v>0</v>
      </c>
      <c r="D111">
        <v>0</v>
      </c>
    </row>
    <row r="112" spans="1:4">
      <c r="A112">
        <v>111</v>
      </c>
      <c r="B112">
        <v>0</v>
      </c>
      <c r="C112">
        <v>0</v>
      </c>
      <c r="D112">
        <v>0</v>
      </c>
    </row>
    <row r="113" spans="1:4">
      <c r="A113">
        <v>112</v>
      </c>
      <c r="B113">
        <v>0</v>
      </c>
      <c r="C113">
        <v>0</v>
      </c>
      <c r="D113">
        <v>0</v>
      </c>
    </row>
    <row r="114" spans="1:4">
      <c r="A114">
        <v>113</v>
      </c>
      <c r="B114">
        <v>0</v>
      </c>
      <c r="C114">
        <v>0</v>
      </c>
      <c r="D114">
        <v>0</v>
      </c>
    </row>
    <row r="115" spans="1:4">
      <c r="A115">
        <v>114</v>
      </c>
      <c r="B115">
        <v>0</v>
      </c>
      <c r="C115">
        <v>0</v>
      </c>
      <c r="D115">
        <v>0</v>
      </c>
    </row>
    <row r="116" spans="1:4">
      <c r="A116">
        <v>115</v>
      </c>
      <c r="B116">
        <v>0</v>
      </c>
      <c r="C116">
        <v>0</v>
      </c>
      <c r="D116">
        <v>0</v>
      </c>
    </row>
    <row r="117" spans="1:4">
      <c r="A117">
        <v>116</v>
      </c>
      <c r="B117">
        <v>0</v>
      </c>
      <c r="C117">
        <v>0</v>
      </c>
      <c r="D117">
        <v>0</v>
      </c>
    </row>
    <row r="118" spans="1:4">
      <c r="A118">
        <v>117</v>
      </c>
      <c r="B118">
        <v>0</v>
      </c>
      <c r="C118">
        <v>0</v>
      </c>
      <c r="D118">
        <v>0</v>
      </c>
    </row>
    <row r="119" spans="1:4">
      <c r="A119">
        <v>118</v>
      </c>
      <c r="B119">
        <v>0</v>
      </c>
      <c r="C119">
        <v>0</v>
      </c>
      <c r="D119">
        <v>0</v>
      </c>
    </row>
    <row r="120" spans="1:4">
      <c r="A120">
        <v>119</v>
      </c>
      <c r="B120">
        <v>0</v>
      </c>
      <c r="C120">
        <v>0</v>
      </c>
      <c r="D120">
        <v>0</v>
      </c>
    </row>
    <row r="121" spans="1:4">
      <c r="A121">
        <v>120</v>
      </c>
      <c r="B121">
        <v>0</v>
      </c>
      <c r="C121">
        <v>0</v>
      </c>
      <c r="D121">
        <v>0</v>
      </c>
    </row>
    <row r="122" spans="1:4">
      <c r="A122">
        <v>121</v>
      </c>
      <c r="B122">
        <v>0</v>
      </c>
      <c r="C122">
        <v>0</v>
      </c>
      <c r="D122">
        <v>0</v>
      </c>
    </row>
    <row r="123" spans="1:4">
      <c r="A123">
        <v>122</v>
      </c>
      <c r="B123">
        <v>0</v>
      </c>
      <c r="C123">
        <v>0</v>
      </c>
      <c r="D123">
        <v>0</v>
      </c>
    </row>
    <row r="124" spans="1:4">
      <c r="A124">
        <v>123</v>
      </c>
      <c r="B124">
        <v>0</v>
      </c>
      <c r="C124">
        <v>0</v>
      </c>
      <c r="D124">
        <v>0</v>
      </c>
    </row>
    <row r="125" spans="1:4">
      <c r="A125">
        <v>124</v>
      </c>
      <c r="B125">
        <v>0</v>
      </c>
      <c r="C125">
        <v>0</v>
      </c>
      <c r="D125">
        <v>0</v>
      </c>
    </row>
    <row r="126" spans="1:4">
      <c r="A126">
        <v>125</v>
      </c>
      <c r="B126">
        <v>0</v>
      </c>
      <c r="C126">
        <v>0</v>
      </c>
      <c r="D126">
        <v>0</v>
      </c>
    </row>
    <row r="127" spans="1:4">
      <c r="A127">
        <v>126</v>
      </c>
      <c r="B127">
        <v>0</v>
      </c>
      <c r="C127">
        <v>0</v>
      </c>
      <c r="D127">
        <v>0</v>
      </c>
    </row>
    <row r="128" spans="1:4">
      <c r="A128">
        <v>127</v>
      </c>
      <c r="B128">
        <v>0</v>
      </c>
      <c r="C128">
        <v>0</v>
      </c>
      <c r="D128">
        <v>0</v>
      </c>
    </row>
    <row r="129" spans="1:4">
      <c r="A129">
        <v>128</v>
      </c>
      <c r="B129">
        <v>0</v>
      </c>
      <c r="C129">
        <v>0</v>
      </c>
      <c r="D129">
        <v>0</v>
      </c>
    </row>
    <row r="130" spans="1:4">
      <c r="A130">
        <v>129</v>
      </c>
      <c r="B130">
        <v>0</v>
      </c>
      <c r="C130">
        <v>0</v>
      </c>
      <c r="D130">
        <v>0</v>
      </c>
    </row>
    <row r="131" spans="1:4">
      <c r="A131">
        <v>130</v>
      </c>
      <c r="B131">
        <v>0</v>
      </c>
      <c r="C131">
        <v>0</v>
      </c>
      <c r="D131">
        <v>0</v>
      </c>
    </row>
    <row r="132" spans="1:4">
      <c r="A132">
        <v>131</v>
      </c>
      <c r="B132">
        <v>0</v>
      </c>
      <c r="C132">
        <v>0</v>
      </c>
      <c r="D132">
        <v>0</v>
      </c>
    </row>
    <row r="133" spans="1:4">
      <c r="A133">
        <v>132</v>
      </c>
      <c r="B133">
        <v>0</v>
      </c>
      <c r="C133">
        <v>0</v>
      </c>
      <c r="D133">
        <v>0</v>
      </c>
    </row>
    <row r="134" spans="1:4">
      <c r="A134">
        <v>133</v>
      </c>
      <c r="B134">
        <v>0</v>
      </c>
      <c r="C134">
        <v>0</v>
      </c>
      <c r="D134">
        <v>0</v>
      </c>
    </row>
    <row r="135" spans="1:4">
      <c r="A135">
        <v>134</v>
      </c>
      <c r="B135">
        <v>0</v>
      </c>
      <c r="C135">
        <v>0</v>
      </c>
      <c r="D135">
        <v>0</v>
      </c>
    </row>
    <row r="136" spans="1:4">
      <c r="A136">
        <v>135</v>
      </c>
      <c r="B136">
        <v>0</v>
      </c>
      <c r="C136">
        <v>0</v>
      </c>
      <c r="D136">
        <v>0</v>
      </c>
    </row>
    <row r="137" spans="1:4">
      <c r="A137">
        <v>136</v>
      </c>
      <c r="B137">
        <v>0</v>
      </c>
      <c r="C137">
        <v>0</v>
      </c>
      <c r="D137">
        <v>0</v>
      </c>
    </row>
    <row r="138" spans="1:4">
      <c r="A138">
        <v>137</v>
      </c>
      <c r="B138">
        <v>0</v>
      </c>
      <c r="C138">
        <v>0</v>
      </c>
      <c r="D138">
        <v>0</v>
      </c>
    </row>
    <row r="139" spans="1:4">
      <c r="A139">
        <v>138</v>
      </c>
      <c r="B139">
        <v>0</v>
      </c>
      <c r="C139">
        <v>0</v>
      </c>
      <c r="D139">
        <v>0</v>
      </c>
    </row>
    <row r="140" spans="1:4">
      <c r="A140">
        <v>139</v>
      </c>
      <c r="B140">
        <v>0</v>
      </c>
      <c r="C140">
        <v>0</v>
      </c>
      <c r="D140">
        <v>0</v>
      </c>
    </row>
    <row r="141" spans="1:4">
      <c r="A141">
        <v>140</v>
      </c>
      <c r="B141">
        <v>0</v>
      </c>
      <c r="C141">
        <v>0</v>
      </c>
      <c r="D141">
        <v>0</v>
      </c>
    </row>
    <row r="142" spans="1:4">
      <c r="A142">
        <v>141</v>
      </c>
      <c r="B142">
        <v>0</v>
      </c>
      <c r="C142">
        <v>0</v>
      </c>
      <c r="D142">
        <v>0</v>
      </c>
    </row>
    <row r="143" spans="1:4">
      <c r="A143">
        <v>142</v>
      </c>
      <c r="B143">
        <v>0</v>
      </c>
      <c r="C143">
        <v>0</v>
      </c>
      <c r="D143">
        <v>0</v>
      </c>
    </row>
    <row r="144" spans="1:4">
      <c r="A144">
        <v>143</v>
      </c>
      <c r="B144">
        <v>0</v>
      </c>
      <c r="C144">
        <v>0</v>
      </c>
      <c r="D144">
        <v>0</v>
      </c>
    </row>
    <row r="145" spans="1:4">
      <c r="A145">
        <v>144</v>
      </c>
      <c r="B145">
        <v>0</v>
      </c>
      <c r="C145">
        <v>0</v>
      </c>
      <c r="D145">
        <v>0</v>
      </c>
    </row>
    <row r="146" spans="1:4">
      <c r="A146">
        <v>145</v>
      </c>
      <c r="B146">
        <v>0</v>
      </c>
      <c r="C146">
        <v>0</v>
      </c>
      <c r="D146">
        <v>0</v>
      </c>
    </row>
    <row r="147" spans="1:4">
      <c r="A147">
        <v>146</v>
      </c>
      <c r="B147">
        <v>0</v>
      </c>
      <c r="C147">
        <v>0</v>
      </c>
      <c r="D147">
        <v>0</v>
      </c>
    </row>
    <row r="148" spans="1:4">
      <c r="A148">
        <v>147</v>
      </c>
      <c r="B148">
        <v>0</v>
      </c>
      <c r="C148">
        <v>0</v>
      </c>
      <c r="D148">
        <v>0</v>
      </c>
    </row>
    <row r="149" spans="1:4">
      <c r="A149">
        <v>148</v>
      </c>
      <c r="B149">
        <v>0</v>
      </c>
      <c r="C149">
        <v>0</v>
      </c>
      <c r="D149">
        <v>0</v>
      </c>
    </row>
    <row r="150" spans="1:4">
      <c r="A150">
        <v>149</v>
      </c>
      <c r="B150">
        <v>0</v>
      </c>
      <c r="C150">
        <v>0</v>
      </c>
      <c r="D150">
        <v>0</v>
      </c>
    </row>
    <row r="151" spans="1:4">
      <c r="A151">
        <v>150</v>
      </c>
      <c r="B151">
        <v>0</v>
      </c>
      <c r="C151">
        <v>0</v>
      </c>
      <c r="D151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XW165" sqref="BXW165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R11" sqref="R11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66</vt:i4>
      </vt:variant>
    </vt:vector>
  </HeadingPairs>
  <TitlesOfParts>
    <vt:vector size="71" baseType="lpstr">
      <vt:lpstr>Option</vt:lpstr>
      <vt:lpstr>Strategy</vt:lpstr>
      <vt:lpstr>Diagram</vt:lpstr>
      <vt:lpstr>PDE</vt:lpstr>
      <vt:lpstr>Test</vt:lpstr>
      <vt:lpstr>Barrier</vt:lpstr>
      <vt:lpstr>BflyPrice</vt:lpstr>
      <vt:lpstr>cashpayoff</vt:lpstr>
      <vt:lpstr>CorP</vt:lpstr>
      <vt:lpstr>digitaltype</vt:lpstr>
      <vt:lpstr>Divyield</vt:lpstr>
      <vt:lpstr>EorA</vt:lpstr>
      <vt:lpstr>Exotic</vt:lpstr>
      <vt:lpstr>ICPrice</vt:lpstr>
      <vt:lpstr>Maturity</vt:lpstr>
      <vt:lpstr>OptionPrice</vt:lpstr>
      <vt:lpstr>OptionPrice2</vt:lpstr>
      <vt:lpstr>OptionPrice3</vt:lpstr>
      <vt:lpstr>PDEPrice</vt:lpstr>
      <vt:lpstr>Rate</vt:lpstr>
      <vt:lpstr>S_CP1</vt:lpstr>
      <vt:lpstr>S_CP2</vt:lpstr>
      <vt:lpstr>S_CP3</vt:lpstr>
      <vt:lpstr>S_CP4</vt:lpstr>
      <vt:lpstr>S_CspreadPrice</vt:lpstr>
      <vt:lpstr>S_Divy</vt:lpstr>
      <vt:lpstr>S_Flex_CP</vt:lpstr>
      <vt:lpstr>S_Flex_IV</vt:lpstr>
      <vt:lpstr>S_Flex_IV1</vt:lpstr>
      <vt:lpstr>S_Flex_IV2</vt:lpstr>
      <vt:lpstr>S_Flex_IV3</vt:lpstr>
      <vt:lpstr>S_Flex_IV4</vt:lpstr>
      <vt:lpstr>S_Flex_Price</vt:lpstr>
      <vt:lpstr>S_Flex_Strike</vt:lpstr>
      <vt:lpstr>S_FlexPrice</vt:lpstr>
      <vt:lpstr>S_Maturity</vt:lpstr>
      <vt:lpstr>S_PspreadPrice</vt:lpstr>
      <vt:lpstr>S_Q</vt:lpstr>
      <vt:lpstr>S_Q1</vt:lpstr>
      <vt:lpstr>S_Q2</vt:lpstr>
      <vt:lpstr>S_Q3</vt:lpstr>
      <vt:lpstr>S_Q4</vt:lpstr>
      <vt:lpstr>S_Rate</vt:lpstr>
      <vt:lpstr>S_Spot</vt:lpstr>
      <vt:lpstr>S_Spotmulti</vt:lpstr>
      <vt:lpstr>S_Spotsteps</vt:lpstr>
      <vt:lpstr>S_Spread_IV1</vt:lpstr>
      <vt:lpstr>S_Spread_IV2</vt:lpstr>
      <vt:lpstr>S_Spread_Strike1</vt:lpstr>
      <vt:lpstr>S_Spread_Strike2</vt:lpstr>
      <vt:lpstr>s_steps</vt:lpstr>
      <vt:lpstr>s_steps_multi</vt:lpstr>
      <vt:lpstr>S_Straddle_IV</vt:lpstr>
      <vt:lpstr>S_Straddle_Strike</vt:lpstr>
      <vt:lpstr>S_StraddlePrice</vt:lpstr>
      <vt:lpstr>S_Strangle_IV_c</vt:lpstr>
      <vt:lpstr>S_Strangle_IV_p</vt:lpstr>
      <vt:lpstr>S_StranglePrice</vt:lpstr>
      <vt:lpstr>S_Strategy</vt:lpstr>
      <vt:lpstr>S_Strike_c</vt:lpstr>
      <vt:lpstr>S_Strike_p</vt:lpstr>
      <vt:lpstr>S_Strike1</vt:lpstr>
      <vt:lpstr>S_Strike2</vt:lpstr>
      <vt:lpstr>S_Strike3</vt:lpstr>
      <vt:lpstr>S_Strike4</vt:lpstr>
      <vt:lpstr>S_Style</vt:lpstr>
      <vt:lpstr>S_Timesteps</vt:lpstr>
      <vt:lpstr>Spot</vt:lpstr>
      <vt:lpstr>Strike</vt:lpstr>
      <vt:lpstr>t_steps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ZHAO, Bohan (CA-CIB)</cp:lastModifiedBy>
  <dcterms:created xsi:type="dcterms:W3CDTF">2018-12-14T12:43:54Z</dcterms:created>
  <dcterms:modified xsi:type="dcterms:W3CDTF">2021-09-20T08:30:09Z</dcterms:modified>
</cp:coreProperties>
</file>