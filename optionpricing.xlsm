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85" windowWidth="14805" windowHeight="7830"/>
  </bookViews>
  <sheets>
    <sheet name="BSM" sheetId="2" r:id="rId1"/>
  </sheets>
  <functionGroups builtInGroupCount="17"/>
  <calcPr calcId="145621"/>
</workbook>
</file>

<file path=xl/calcChain.xml><?xml version="1.0" encoding="utf-8"?>
<calcChain xmlns="http://schemas.openxmlformats.org/spreadsheetml/2006/main">
  <c r="B15" i="2" l="1"/>
  <c r="B16" i="2" s="1"/>
  <c r="B10" i="2"/>
</calcChain>
</file>

<file path=xl/sharedStrings.xml><?xml version="1.0" encoding="utf-8"?>
<sst xmlns="http://schemas.openxmlformats.org/spreadsheetml/2006/main" count="17" uniqueCount="16">
  <si>
    <t>Maturity (year)</t>
  </si>
  <si>
    <t>annual interest rate</t>
  </si>
  <si>
    <t>annual dividend rate</t>
  </si>
  <si>
    <t>annualized volatility</t>
  </si>
  <si>
    <t>Initial price</t>
  </si>
  <si>
    <t>Call or Put</t>
  </si>
  <si>
    <t>Strike</t>
  </si>
  <si>
    <t>Call</t>
  </si>
  <si>
    <t>Put</t>
  </si>
  <si>
    <t>number of steps in one path</t>
  </si>
  <si>
    <t>number of Paths</t>
  </si>
  <si>
    <t>Discount factor</t>
  </si>
  <si>
    <t>Option Price (BSM)</t>
  </si>
  <si>
    <t>Option Price (MC)</t>
  </si>
  <si>
    <t>Diff</t>
  </si>
  <si>
    <t>Diff%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</si>
</sst>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0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0" borderId="1" xfId="0" applyFill="1" applyBorder="1"/>
    <xf numFmtId="2" fontId="0" fillId="3" borderId="1" xfId="0" applyNumberFormat="1" applyFill="1" applyBorder="1"/>
    <xf numFmtId="0" fontId="0" fillId="3" borderId="1" xfId="0" applyFill="1" applyBorder="1" applyAlignment="1">
      <alignment horizontal="right"/>
    </xf>
    <xf numFmtId="20" fontId="0" fillId="0" borderId="0" xfId="0" applyNumberFormat="1"/>
    <xf numFmtId="164" fontId="0" fillId="2" borderId="1" xfId="0" applyNumberFormat="1" applyFill="1" applyBorder="1"/>
    <xf numFmtId="164" fontId="0" fillId="0" borderId="1" xfId="0" applyNumberFormat="1" applyBorder="1"/>
    <xf numFmtId="165" fontId="0" fillId="0" borderId="1" xfId="1" applyNumberFormat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28575</xdr:rowOff>
        </xdr:from>
        <xdr:to>
          <xdr:col>5</xdr:col>
          <xdr:colOff>333375</xdr:colOff>
          <xdr:row>4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19"/>
  <sheetViews>
    <sheetView tabSelected="1" workbookViewId="0">
      <selection activeCell="B8" sqref="B8"/>
    </sheetView>
  </sheetViews>
  <sheetFormatPr defaultRowHeight="15" x14ac:dyDescent="0.25"/>
  <cols>
    <col min="1" max="1" width="27" customWidth="1"/>
    <col min="4" max="4" width="18.140625" customWidth="1"/>
    <col min="5" max="5" width="32.7109375" customWidth="1"/>
  </cols>
  <sheetData>
    <row r="1" spans="1:4" x14ac:dyDescent="0.25">
      <c r="A1" s="1" t="s">
        <v>4</v>
      </c>
      <c r="B1" s="4">
        <v>30</v>
      </c>
    </row>
    <row r="2" spans="1:4" x14ac:dyDescent="0.25">
      <c r="A2" s="1" t="s">
        <v>1</v>
      </c>
      <c r="B2" s="2">
        <v>2</v>
      </c>
    </row>
    <row r="3" spans="1:4" x14ac:dyDescent="0.25">
      <c r="A3" s="1" t="s">
        <v>2</v>
      </c>
      <c r="B3" s="2">
        <v>0</v>
      </c>
    </row>
    <row r="4" spans="1:4" x14ac:dyDescent="0.25">
      <c r="A4" s="1" t="s">
        <v>3</v>
      </c>
      <c r="B4" s="2">
        <v>40</v>
      </c>
    </row>
    <row r="5" spans="1:4" x14ac:dyDescent="0.25">
      <c r="A5" s="1" t="s">
        <v>9</v>
      </c>
      <c r="B5" s="2">
        <v>1000</v>
      </c>
    </row>
    <row r="6" spans="1:4" x14ac:dyDescent="0.25">
      <c r="A6" s="1" t="s">
        <v>0</v>
      </c>
      <c r="B6" s="2">
        <v>1</v>
      </c>
    </row>
    <row r="7" spans="1:4" x14ac:dyDescent="0.25">
      <c r="A7" s="1" t="s">
        <v>10</v>
      </c>
      <c r="B7" s="2">
        <v>1000</v>
      </c>
    </row>
    <row r="8" spans="1:4" x14ac:dyDescent="0.25">
      <c r="A8" s="3" t="s">
        <v>5</v>
      </c>
      <c r="B8" s="5" t="s">
        <v>8</v>
      </c>
      <c r="D8" t="s">
        <v>7</v>
      </c>
    </row>
    <row r="9" spans="1:4" x14ac:dyDescent="0.25">
      <c r="A9" s="3" t="s">
        <v>6</v>
      </c>
      <c r="B9" s="2">
        <v>30</v>
      </c>
      <c r="D9" t="s">
        <v>8</v>
      </c>
    </row>
    <row r="10" spans="1:4" x14ac:dyDescent="0.25">
      <c r="A10" s="3" t="s">
        <v>11</v>
      </c>
      <c r="B10" s="2">
        <f>EXP(-B6*B2/100)</f>
        <v>0.98019867330675525</v>
      </c>
    </row>
    <row r="13" spans="1:4" x14ac:dyDescent="0.25">
      <c r="A13" s="1" t="s">
        <v>13</v>
      </c>
      <c r="B13" s="7">
        <v>4.4975679748418305</v>
      </c>
    </row>
    <row r="14" spans="1:4" x14ac:dyDescent="0.25">
      <c r="A14" s="3" t="s">
        <v>12</v>
      </c>
      <c r="B14" s="1">
        <v>4.4172853590967005</v>
      </c>
    </row>
    <row r="15" spans="1:4" x14ac:dyDescent="0.25">
      <c r="A15" s="3" t="s">
        <v>14</v>
      </c>
      <c r="B15" s="8">
        <f>B13-B14</f>
        <v>8.0282615745129959E-2</v>
      </c>
    </row>
    <row r="16" spans="1:4" x14ac:dyDescent="0.25">
      <c r="A16" s="3" t="s">
        <v>15</v>
      </c>
      <c r="B16" s="9">
        <f>B15/B14</f>
        <v>1.8174650089064454E-2</v>
      </c>
    </row>
    <row r="19" spans="5:5" x14ac:dyDescent="0.25">
      <c r="E19" s="6"/>
    </row>
  </sheetData>
  <dataValidations count="2">
    <dataValidation type="list" allowBlank="1" showInputMessage="1" showErrorMessage="1" promptTitle="Call or Put" prompt="Only &quot;Call&quot; or &quot;Put&quot; is allowed" sqref="B8">
      <formula1>$D$8:$D$9</formula1>
    </dataValidation>
    <dataValidation type="whole" operator="greaterThan" allowBlank="1" showInputMessage="1" showErrorMessage="1" sqref="B7">
      <formula1>1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yPricing">
                <anchor moveWithCells="1" sizeWithCells="1">
                  <from>
                    <xdr:col>4</xdr:col>
                    <xdr:colOff>9525</xdr:colOff>
                    <xdr:row>0</xdr:row>
                    <xdr:rowOff>28575</xdr:rowOff>
                  </from>
                  <to>
                    <xdr:col>5</xdr:col>
                    <xdr:colOff>333375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2018-12-13T07:44:17Z</dcterms:modified>
</cp:coreProperties>
</file>